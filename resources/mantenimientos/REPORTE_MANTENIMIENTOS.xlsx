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Datos" sheetId="1" state="visible" r:id="rId1"/>
    <sheet name="CPS" sheetId="2" state="visible" r:id="rId2"/>
    <sheet name="REPORTE DE MANTENIMIENTO" sheetId="3" state="visible" r:id="rId3"/>
  </sheets>
  <definedNames/>
  <calcPr calcId="191029" fullCalcOnLoad="1"/>
</workbook>
</file>

<file path=xl/styles.xml><?xml version="1.0" encoding="utf-8"?>
<styleSheet xmlns="http://schemas.openxmlformats.org/spreadsheetml/2006/main">
  <numFmts count="2">
    <numFmt numFmtId="164" formatCode="dd/mm/yyyy"/>
    <numFmt numFmtId="165" formatCode="[$-F400]h:mm:ss\ AM/PM"/>
  </numFmts>
  <fonts count="20">
    <font>
      <name val="Calibri"/>
      <family val="2"/>
      <color theme="1"/>
      <sz val="11"/>
      <scheme val="minor"/>
    </font>
    <font>
      <name val="Arial"/>
      <family val="2"/>
      <color theme="1"/>
      <sz val="12"/>
    </font>
    <font>
      <name val="Calibri"/>
      <family val="2"/>
      <b val="1"/>
      <color theme="1"/>
      <sz val="10"/>
      <scheme val="minor"/>
    </font>
    <font>
      <name val="Calibri"/>
      <family val="2"/>
      <color theme="1"/>
      <sz val="10"/>
      <scheme val="minor"/>
    </font>
    <font>
      <name val="Arial"/>
      <family val="2"/>
      <b val="1"/>
      <color theme="1"/>
      <sz val="12"/>
    </font>
    <font>
      <name val="Arial"/>
      <family val="2"/>
      <b val="1"/>
      <color theme="1"/>
      <sz val="11"/>
    </font>
    <font>
      <name val="Calibri"/>
      <family val="2"/>
      <b val="1"/>
      <color theme="1"/>
      <sz val="11"/>
      <scheme val="minor"/>
    </font>
    <font>
      <name val="Calibri"/>
      <family val="2"/>
      <color theme="1"/>
      <sz val="12"/>
      <scheme val="minor"/>
    </font>
    <font>
      <name val="Calibri"/>
      <family val="2"/>
      <color theme="1" tint="0.0499893185216834"/>
      <sz val="11"/>
      <scheme val="minor"/>
    </font>
    <font>
      <name val="Calibri"/>
      <family val="2"/>
      <b val="1"/>
      <color theme="1"/>
      <sz val="14"/>
      <scheme val="minor"/>
    </font>
    <font>
      <name val="Calibri"/>
      <family val="2"/>
      <color theme="1"/>
      <sz val="14"/>
      <scheme val="minor"/>
    </font>
    <font>
      <name val="Calibri"/>
      <family val="2"/>
      <sz val="11"/>
      <scheme val="minor"/>
    </font>
    <font>
      <name val="Aptos Narrow"/>
      <family val="2"/>
      <color rgb="FF242424"/>
      <sz val="11"/>
    </font>
    <font>
      <name val="Calibri"/>
      <family val="2"/>
      <color rgb="FF000000"/>
      <sz val="11"/>
      <scheme val="minor"/>
    </font>
    <font>
      <name val="Aptos Narrow"/>
      <color rgb="FF242424"/>
      <sz val="10"/>
    </font>
    <font>
      <name val="Aptos Narrow"/>
      <sz val="10"/>
    </font>
    <font>
      <name val="Aptos Narrow"/>
      <charset val="1"/>
      <color rgb="FF242424"/>
      <sz val="11"/>
    </font>
    <font>
      <name val="Calibri"/>
      <family val="2"/>
      <color rgb="FF242424"/>
      <sz val="11"/>
      <scheme val="minor"/>
    </font>
    <font>
      <name val="Calibri"/>
      <family val="2"/>
      <color rgb="FF000000"/>
      <sz val="10"/>
      <scheme val="minor"/>
    </font>
    <font>
      <name val="Calibri"/>
      <family val="2"/>
      <sz val="8"/>
      <scheme val="minor"/>
    </font>
  </fonts>
  <fills count="18">
    <fill>
      <patternFill/>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
        <bgColor indexed="64"/>
      </patternFill>
    </fill>
    <fill>
      <patternFill patternType="solid">
        <fgColor rgb="FFDDEBF7"/>
        <bgColor rgb="FFDDEBF7"/>
      </patternFill>
    </fill>
    <fill>
      <patternFill patternType="solid">
        <fgColor theme="4" tint="0.3999755851924192"/>
        <bgColor indexed="64"/>
      </patternFill>
    </fill>
    <fill>
      <patternFill patternType="solid">
        <fgColor rgb="FFFFFFFF"/>
        <bgColor rgb="FF000000"/>
      </patternFill>
    </fill>
    <fill>
      <patternFill patternType="solid">
        <fgColor rgb="FFF8CBAD"/>
        <bgColor rgb="FF000000"/>
      </patternFill>
    </fill>
    <fill>
      <patternFill patternType="solid">
        <fgColor rgb="FFFFFFFF"/>
        <bgColor rgb="FFD9D9D9"/>
      </patternFill>
    </fill>
    <fill>
      <patternFill patternType="solid">
        <fgColor rgb="FFDDEBF7"/>
        <bgColor rgb="FF000000"/>
      </patternFill>
    </fill>
    <fill>
      <patternFill patternType="solid">
        <fgColor rgb="FFFFFF00"/>
        <bgColor rgb="FF000000"/>
      </patternFill>
    </fill>
    <fill>
      <patternFill patternType="solid">
        <fgColor theme="3" tint="0.5999938962981048"/>
        <bgColor indexed="64"/>
      </patternFill>
    </fill>
    <fill>
      <patternFill patternType="solid">
        <fgColor theme="3" tint="0.5999938962981048"/>
        <bgColor rgb="FFDDEBF7"/>
      </patternFill>
    </fill>
    <fill>
      <patternFill patternType="solid">
        <fgColor theme="3" tint="0.5999938962981048"/>
        <bgColor rgb="FF000000"/>
      </patternFill>
    </fill>
    <fill>
      <patternFill patternType="solid">
        <fgColor theme="9" tint="0.3999755851924192"/>
        <bgColor indexed="64"/>
      </patternFill>
    </fill>
    <fill>
      <patternFill patternType="solid">
        <fgColor theme="9" tint="0.3999755851924192"/>
        <bgColor rgb="FFDDEBF7"/>
      </patternFill>
    </fill>
    <fill>
      <patternFill patternType="solid">
        <fgColor rgb="FFFF0000"/>
        <bgColor indexed="64"/>
      </patternFill>
    </fill>
  </fills>
  <borders count="32">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bottom style="thin">
        <color indexed="64"/>
      </bottom>
      <diagonal/>
    </border>
    <border>
      <left/>
      <right/>
      <top style="thin">
        <color rgb="FF000000"/>
      </top>
      <bottom/>
      <diagonal/>
    </border>
    <border>
      <left/>
      <right style="thin">
        <color rgb="FF000000"/>
      </right>
      <top/>
      <bottom style="thin">
        <color rgb="FF000000"/>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rgb="FF9BC2E6"/>
      </top>
      <bottom/>
      <diagonal/>
    </border>
    <border>
      <left/>
      <right/>
      <top/>
      <bottom style="thin">
        <color rgb="FF9BC2E6"/>
      </bottom>
      <diagonal/>
    </border>
    <border>
      <left style="thin">
        <color rgb="FF000000"/>
      </left>
      <right/>
      <top/>
      <bottom/>
      <diagonal/>
    </border>
    <border>
      <left/>
      <right style="thin">
        <color rgb="FF000000"/>
      </right>
      <top/>
      <bottom/>
      <diagonal/>
    </border>
  </borders>
  <cellStyleXfs count="1">
    <xf numFmtId="0" fontId="0" fillId="0" borderId="0"/>
  </cellStyleXfs>
  <cellXfs count="193">
    <xf numFmtId="0" fontId="0" fillId="0" borderId="0" pivotButton="0" quotePrefix="0" xfId="0"/>
    <xf numFmtId="0" fontId="1" fillId="0" borderId="0" applyAlignment="1" pivotButton="0" quotePrefix="0" xfId="0">
      <alignment horizontal="left" vertical="center" wrapText="1"/>
    </xf>
    <xf numFmtId="0" fontId="5" fillId="0" borderId="0" applyAlignment="1" pivotButton="0" quotePrefix="0" xfId="0">
      <alignment horizontal="center" vertical="center"/>
    </xf>
    <xf numFmtId="0" fontId="5" fillId="0" borderId="0" applyAlignment="1" pivotButton="0" quotePrefix="0" xfId="0">
      <alignment horizontal="center"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0" borderId="5" applyAlignment="1" pivotButton="0" quotePrefix="0" xfId="0">
      <alignment horizontal="left" vertical="center"/>
    </xf>
    <xf numFmtId="0" fontId="6" fillId="0" borderId="5"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horizontal="left"/>
    </xf>
    <xf numFmtId="0" fontId="7" fillId="0" borderId="0" applyAlignment="1" pivotButton="0" quotePrefix="0" xfId="0">
      <alignment horizontal="left"/>
    </xf>
    <xf numFmtId="0" fontId="0" fillId="2" borderId="0" applyAlignment="1" pivotButton="0" quotePrefix="0" xfId="0">
      <alignment horizontal="center" vertical="center" wrapText="1"/>
    </xf>
    <xf numFmtId="0" fontId="6" fillId="0" borderId="8" applyAlignment="1" pivotButton="0" quotePrefix="0" xfId="0">
      <alignment horizontal="left" vertical="center"/>
    </xf>
    <xf numFmtId="0" fontId="6" fillId="0" borderId="1" applyAlignment="1" pivotButton="0" quotePrefix="0" xfId="0">
      <alignment horizontal="left" vertical="center"/>
    </xf>
    <xf numFmtId="0" fontId="6" fillId="0" borderId="9" applyAlignment="1" pivotButton="0" quotePrefix="0" xfId="0">
      <alignment horizontal="left" vertical="center"/>
    </xf>
    <xf numFmtId="0" fontId="6" fillId="0" borderId="14" applyAlignment="1" pivotButton="0" quotePrefix="0" xfId="0">
      <alignment horizontal="left" vertical="center"/>
    </xf>
    <xf numFmtId="0" fontId="0" fillId="4" borderId="8" applyAlignment="1" pivotButton="0" quotePrefix="0" xfId="0">
      <alignment horizontal="center" vertical="center" wrapText="1"/>
    </xf>
    <xf numFmtId="14" fontId="0" fillId="4" borderId="8" applyAlignment="1" pivotButton="0" quotePrefix="0" xfId="0">
      <alignment horizontal="center" vertical="center" wrapText="1"/>
    </xf>
    <xf numFmtId="0" fontId="0" fillId="0" borderId="19" applyAlignment="1" pivotButton="0" quotePrefix="0" xfId="0">
      <alignment horizontal="center" vertical="center" wrapText="1"/>
    </xf>
    <xf numFmtId="0" fontId="6" fillId="2" borderId="5" applyAlignment="1" pivotButton="0" quotePrefix="0" xfId="0">
      <alignment horizontal="center" vertical="center" wrapText="1"/>
    </xf>
    <xf numFmtId="0" fontId="8" fillId="2" borderId="5" applyAlignment="1" pivotButton="0" quotePrefix="0" xfId="0">
      <alignment horizontal="center" vertical="center" wrapText="1"/>
    </xf>
    <xf numFmtId="0" fontId="0" fillId="0" borderId="5" applyAlignment="1" pivotButton="0" quotePrefix="0" xfId="0">
      <alignment horizontal="center" vertical="center" wrapText="1"/>
    </xf>
    <xf numFmtId="0" fontId="0" fillId="2" borderId="5" applyAlignment="1" pivotButton="0" quotePrefix="0" xfId="0">
      <alignment horizontal="center" vertical="center" wrapText="1"/>
    </xf>
    <xf numFmtId="0" fontId="6" fillId="3" borderId="8" applyAlignment="1" pivotButton="0" quotePrefix="0" xfId="0">
      <alignment horizontal="center" vertical="center" wrapText="1"/>
    </xf>
    <xf numFmtId="0" fontId="0" fillId="0" borderId="0" applyAlignment="1" pivotButton="0" quotePrefix="0" xfId="0">
      <alignment horizontal="center"/>
    </xf>
    <xf numFmtId="14" fontId="0" fillId="0" borderId="5" applyAlignment="1" pivotButton="0" quotePrefix="0" xfId="0">
      <alignment horizontal="center" vertical="center" wrapText="1"/>
    </xf>
    <xf numFmtId="0" fontId="11" fillId="2" borderId="0" pivotButton="0" quotePrefix="0" xfId="0"/>
    <xf numFmtId="0" fontId="0" fillId="0" borderId="0" applyAlignment="1" pivotButton="0" quotePrefix="0" xfId="0">
      <alignment wrapText="1"/>
    </xf>
    <xf numFmtId="0" fontId="0" fillId="0" borderId="0" applyAlignment="1" pivotButton="0" quotePrefix="0" xfId="0">
      <alignment vertical="center"/>
    </xf>
    <xf numFmtId="0" fontId="6" fillId="4" borderId="8" applyAlignment="1" pivotButton="0" quotePrefix="0" xfId="0">
      <alignment horizontal="center" vertical="center" wrapText="1"/>
    </xf>
    <xf numFmtId="49" fontId="0" fillId="4" borderId="8" applyAlignment="1" pivotButton="0" quotePrefix="0" xfId="0">
      <alignment horizontal="center" vertical="center" wrapText="1"/>
    </xf>
    <xf numFmtId="49" fontId="0" fillId="4" borderId="16" applyAlignment="1" pivotButton="0" quotePrefix="0" xfId="0">
      <alignment horizontal="center" vertical="center" wrapText="1"/>
    </xf>
    <xf numFmtId="49" fontId="0" fillId="4" borderId="15" applyAlignment="1" pivotButton="0" quotePrefix="0" xfId="0">
      <alignment horizontal="center" vertical="center" wrapText="1"/>
    </xf>
    <xf numFmtId="0" fontId="0" fillId="0" borderId="0" applyAlignment="1" pivotButton="0" quotePrefix="0" xfId="0">
      <alignment horizontal="center" vertical="center" wrapText="1"/>
    </xf>
    <xf numFmtId="14" fontId="0" fillId="0" borderId="0" applyAlignment="1" pivotButton="0" quotePrefix="0" xfId="0">
      <alignment horizontal="center" vertical="center" wrapText="1"/>
    </xf>
    <xf numFmtId="0" fontId="0" fillId="3" borderId="8" applyAlignment="1" pivotButton="0" quotePrefix="0" xfId="0">
      <alignment horizontal="center" vertical="center" wrapText="1"/>
    </xf>
    <xf numFmtId="0" fontId="0" fillId="3" borderId="17" applyAlignment="1" pivotButton="0" quotePrefix="0" xfId="0">
      <alignment horizontal="center" vertical="center" wrapText="1"/>
    </xf>
    <xf numFmtId="0" fontId="6" fillId="0" borderId="5" applyAlignment="1" pivotButton="0" quotePrefix="0" xfId="0">
      <alignment horizontal="center" vertical="center" wrapText="1"/>
    </xf>
    <xf numFmtId="0" fontId="6" fillId="0" borderId="19" applyAlignment="1" pivotButton="0" quotePrefix="0" xfId="0">
      <alignment horizontal="center" vertical="center" wrapText="1"/>
    </xf>
    <xf numFmtId="0" fontId="6" fillId="0" borderId="8" applyAlignment="1" pivotButton="0" quotePrefix="0" xfId="0">
      <alignment horizontal="center" vertical="center" wrapText="1"/>
    </xf>
    <xf numFmtId="1" fontId="0" fillId="0" borderId="8" applyAlignment="1" pivotButton="0" quotePrefix="0" xfId="0">
      <alignment horizontal="center" vertical="center" wrapText="1"/>
    </xf>
    <xf numFmtId="0" fontId="0" fillId="0" borderId="5" applyAlignment="1" pivotButton="0" quotePrefix="1" xfId="0">
      <alignment horizontal="center" vertical="center" wrapText="1"/>
    </xf>
    <xf numFmtId="49" fontId="11" fillId="4" borderId="16" applyAlignment="1" pivotButton="0" quotePrefix="0" xfId="0">
      <alignment horizontal="center" vertical="center" wrapText="1"/>
    </xf>
    <xf numFmtId="0" fontId="0" fillId="0" borderId="16" applyAlignment="1" pivotButton="0" quotePrefix="0" xfId="0">
      <alignment horizontal="center" vertical="center" wrapText="1"/>
    </xf>
    <xf numFmtId="0" fontId="6" fillId="4" borderId="0" applyAlignment="1" pivotButton="0" quotePrefix="0" xfId="0">
      <alignment horizontal="center" vertical="center" wrapText="1"/>
    </xf>
    <xf numFmtId="0" fontId="0" fillId="6" borderId="16" applyAlignment="1" pivotButton="0" quotePrefix="0" xfId="0">
      <alignment horizontal="center" vertical="center" wrapText="1"/>
    </xf>
    <xf numFmtId="0" fontId="13" fillId="8" borderId="28" applyAlignment="1" pivotButton="0" quotePrefix="0" xfId="0">
      <alignment horizontal="center" vertical="center" wrapText="1"/>
    </xf>
    <xf numFmtId="0" fontId="11" fillId="11" borderId="28" applyAlignment="1" pivotButton="0" quotePrefix="0" xfId="0">
      <alignment horizontal="center" vertical="center" wrapText="1"/>
    </xf>
    <xf numFmtId="0" fontId="0" fillId="12" borderId="5" applyAlignment="1" pivotButton="0" quotePrefix="0" xfId="0">
      <alignment horizontal="center" vertical="center" wrapText="1"/>
    </xf>
    <xf numFmtId="14" fontId="0" fillId="12" borderId="5" applyAlignment="1" pivotButton="0" quotePrefix="0" xfId="0">
      <alignment horizontal="center" vertical="center" wrapText="1"/>
    </xf>
    <xf numFmtId="20" fontId="0" fillId="12" borderId="5" applyAlignment="1" pivotButton="0" quotePrefix="0" xfId="0">
      <alignment horizontal="center" vertical="center" wrapText="1"/>
    </xf>
    <xf numFmtId="1" fontId="13" fillId="5" borderId="28" applyAlignment="1" pivotButton="0" quotePrefix="0" xfId="0">
      <alignment horizontal="center" vertical="center" wrapText="1"/>
    </xf>
    <xf numFmtId="1" fontId="13" fillId="0" borderId="29" applyAlignment="1" pivotButton="0" quotePrefix="0" xfId="0">
      <alignment horizontal="center" vertical="center" wrapText="1"/>
    </xf>
    <xf numFmtId="1" fontId="13" fillId="5" borderId="29" applyAlignment="1" pivotButton="0" quotePrefix="0" xfId="0">
      <alignment horizontal="center" vertical="center" wrapText="1"/>
    </xf>
    <xf numFmtId="49" fontId="0" fillId="4" borderId="21" applyAlignment="1" pivotButton="0" quotePrefix="0" xfId="0">
      <alignment horizontal="center" vertical="center" wrapText="1"/>
    </xf>
    <xf numFmtId="14" fontId="13" fillId="14" borderId="5" applyAlignment="1" pivotButton="0" quotePrefix="0" xfId="0">
      <alignment horizontal="center" vertical="center" wrapText="1"/>
    </xf>
    <xf numFmtId="20" fontId="13" fillId="14" borderId="5" applyAlignment="1" pivotButton="0" quotePrefix="0" xfId="0">
      <alignment horizontal="center" vertical="center" wrapText="1"/>
    </xf>
    <xf numFmtId="1" fontId="13" fillId="13" borderId="5" applyAlignment="1" pivotButton="0" quotePrefix="0" xfId="0">
      <alignment horizontal="center" vertical="center" wrapText="1"/>
    </xf>
    <xf numFmtId="0" fontId="13" fillId="8" borderId="5" applyAlignment="1" pivotButton="0" quotePrefix="0" xfId="0">
      <alignment horizontal="center" vertical="center" wrapText="1"/>
    </xf>
    <xf numFmtId="49" fontId="0" fillId="4" borderId="5" applyAlignment="1" pivotButton="0" quotePrefix="0" xfId="0">
      <alignment horizontal="center" vertical="center" wrapText="1"/>
    </xf>
    <xf numFmtId="49" fontId="0" fillId="12" borderId="5" applyAlignment="1" pivotButton="0" quotePrefix="0" xfId="0">
      <alignment horizontal="center" vertical="center" wrapText="1"/>
    </xf>
    <xf numFmtId="1" fontId="0" fillId="12" borderId="5" applyAlignment="1" pivotButton="0" quotePrefix="0" xfId="0">
      <alignment horizontal="center" vertical="center" wrapText="1"/>
    </xf>
    <xf numFmtId="14" fontId="0" fillId="4" borderId="5" applyAlignment="1" pivotButton="0" quotePrefix="0" xfId="0">
      <alignment horizontal="center" vertical="center" wrapText="1"/>
    </xf>
    <xf numFmtId="14" fontId="13" fillId="8" borderId="5" applyAlignment="1" pivotButton="0" quotePrefix="0" xfId="0">
      <alignment horizontal="center" vertical="center" wrapText="1"/>
    </xf>
    <xf numFmtId="1" fontId="11" fillId="14" borderId="5" applyAlignment="1" pivotButton="0" quotePrefix="0" xfId="0">
      <alignment horizontal="center" vertical="center" wrapText="1"/>
    </xf>
    <xf numFmtId="1" fontId="11" fillId="12" borderId="5" applyAlignment="1" pivotButton="0" quotePrefix="1" xfId="0">
      <alignment horizontal="center" vertical="center" wrapText="1"/>
    </xf>
    <xf numFmtId="0" fontId="11" fillId="15" borderId="7" applyAlignment="1" pivotButton="0" quotePrefix="0" xfId="0">
      <alignment horizontal="center" vertical="center" wrapText="1"/>
    </xf>
    <xf numFmtId="1" fontId="11" fillId="15" borderId="7" applyAlignment="1" pivotButton="0" quotePrefix="1" xfId="0">
      <alignment horizontal="center" vertical="center" wrapText="1"/>
    </xf>
    <xf numFmtId="14" fontId="11" fillId="15" borderId="7" applyAlignment="1" pivotButton="0" quotePrefix="0" xfId="0">
      <alignment horizontal="center" vertical="center" wrapText="1"/>
    </xf>
    <xf numFmtId="20" fontId="11" fillId="15" borderId="7" applyAlignment="1" pivotButton="0" quotePrefix="0" xfId="0">
      <alignment horizontal="center" vertical="center" wrapText="1"/>
    </xf>
    <xf numFmtId="49" fontId="11" fillId="15" borderId="24" applyAlignment="1" pivotButton="0" quotePrefix="0" xfId="0">
      <alignment horizontal="center" vertical="center" wrapText="1"/>
    </xf>
    <xf numFmtId="49" fontId="11" fillId="15" borderId="16" applyAlignment="1" pivotButton="0" quotePrefix="0" xfId="0">
      <alignment horizontal="center" vertical="center" wrapText="1"/>
    </xf>
    <xf numFmtId="1" fontId="11" fillId="15" borderId="16" applyAlignment="1" pivotButton="0" quotePrefix="0" xfId="0">
      <alignment horizontal="center" vertical="center" wrapText="1"/>
    </xf>
    <xf numFmtId="14" fontId="11" fillId="15" borderId="16" applyAlignment="1" pivotButton="0" quotePrefix="0" xfId="0">
      <alignment horizontal="center" vertical="center" wrapText="1"/>
    </xf>
    <xf numFmtId="0" fontId="11" fillId="15" borderId="5" applyAlignment="1" pivotButton="0" quotePrefix="0" xfId="0">
      <alignment horizontal="center" vertical="center" wrapText="1"/>
    </xf>
    <xf numFmtId="1" fontId="11" fillId="15" borderId="5" applyAlignment="1" pivotButton="0" quotePrefix="1" xfId="0">
      <alignment horizontal="center" vertical="center" wrapText="1"/>
    </xf>
    <xf numFmtId="14" fontId="11" fillId="15" borderId="5" applyAlignment="1" pivotButton="0" quotePrefix="0" xfId="0">
      <alignment horizontal="center" vertical="center" wrapText="1"/>
    </xf>
    <xf numFmtId="20" fontId="11" fillId="15" borderId="5" applyAlignment="1" pivotButton="0" quotePrefix="0" xfId="0">
      <alignment horizontal="center" vertical="center" wrapText="1"/>
    </xf>
    <xf numFmtId="49" fontId="11" fillId="15" borderId="19" applyAlignment="1" pivotButton="0" quotePrefix="0" xfId="0">
      <alignment horizontal="center" vertical="center" wrapText="1"/>
    </xf>
    <xf numFmtId="49" fontId="11" fillId="15" borderId="8" applyAlignment="1" pivotButton="0" quotePrefix="0" xfId="0">
      <alignment horizontal="center" vertical="center" wrapText="1"/>
    </xf>
    <xf numFmtId="1" fontId="11" fillId="15" borderId="8" applyAlignment="1" pivotButton="0" quotePrefix="0" xfId="0">
      <alignment horizontal="center" vertical="center" wrapText="1"/>
    </xf>
    <xf numFmtId="14" fontId="11" fillId="15" borderId="8" applyAlignment="1" pivotButton="0" quotePrefix="0" xfId="0">
      <alignment horizontal="center" vertical="center" wrapText="1"/>
    </xf>
    <xf numFmtId="0" fontId="13" fillId="16" borderId="5" applyAlignment="1" pivotButton="0" quotePrefix="0" xfId="0">
      <alignment horizontal="center" vertical="center" wrapText="1"/>
    </xf>
    <xf numFmtId="0" fontId="0" fillId="15" borderId="5" applyAlignment="1" pivotButton="0" quotePrefix="0" xfId="0">
      <alignment horizontal="center" vertical="center" wrapText="1"/>
    </xf>
    <xf numFmtId="14" fontId="0" fillId="15" borderId="5" applyAlignment="1" pivotButton="0" quotePrefix="0" xfId="0">
      <alignment horizontal="center" vertical="center" wrapText="1"/>
    </xf>
    <xf numFmtId="20" fontId="0" fillId="15" borderId="5" applyAlignment="1" pivotButton="0" quotePrefix="0" xfId="0">
      <alignment horizontal="center" vertical="center" wrapText="1"/>
    </xf>
    <xf numFmtId="49" fontId="0" fillId="15" borderId="19" applyAlignment="1" pivotButton="0" quotePrefix="0" xfId="0">
      <alignment horizontal="center" vertical="center" wrapText="1"/>
    </xf>
    <xf numFmtId="49" fontId="0" fillId="15" borderId="8" applyAlignment="1" pivotButton="0" quotePrefix="0" xfId="0">
      <alignment horizontal="center" vertical="center" wrapText="1"/>
    </xf>
    <xf numFmtId="1" fontId="0" fillId="15" borderId="8" applyAlignment="1" pivotButton="0" quotePrefix="0" xfId="0">
      <alignment horizontal="center" vertical="center" wrapText="1"/>
    </xf>
    <xf numFmtId="14" fontId="0" fillId="15" borderId="8" applyAlignment="1" pivotButton="0" quotePrefix="0" xfId="0">
      <alignment horizontal="center" vertical="center" wrapText="1"/>
    </xf>
    <xf numFmtId="49" fontId="0" fillId="15" borderId="16" applyAlignment="1" pivotButton="0" quotePrefix="0" xfId="0">
      <alignment horizontal="center" vertical="center" wrapText="1"/>
    </xf>
    <xf numFmtId="49" fontId="0" fillId="15" borderId="15" applyAlignment="1" pivotButton="0" quotePrefix="0" xfId="0">
      <alignment horizontal="center" vertical="center" wrapText="1"/>
    </xf>
    <xf numFmtId="20" fontId="0" fillId="15" borderId="5" applyAlignment="1" pivotButton="0" quotePrefix="1" xfId="0">
      <alignment horizontal="center" vertical="center" wrapText="1"/>
    </xf>
    <xf numFmtId="49" fontId="0" fillId="15" borderId="20" applyAlignment="1" pivotButton="0" quotePrefix="0" xfId="0">
      <alignment horizontal="center" vertical="center" wrapText="1"/>
    </xf>
    <xf numFmtId="49" fontId="0" fillId="15" borderId="15" applyAlignment="1" pivotButton="0" quotePrefix="1" xfId="0">
      <alignment horizontal="center" vertical="center" wrapText="1"/>
    </xf>
    <xf numFmtId="14" fontId="0" fillId="15" borderId="15" applyAlignment="1" pivotButton="0" quotePrefix="0" xfId="0">
      <alignment horizontal="center" vertical="center" wrapText="1"/>
    </xf>
    <xf numFmtId="49" fontId="0" fillId="15" borderId="8" applyAlignment="1" pivotButton="0" quotePrefix="1" xfId="0">
      <alignment horizontal="center" vertical="center" wrapText="1"/>
    </xf>
    <xf numFmtId="0" fontId="0" fillId="15" borderId="5" applyAlignment="1" pivotButton="0" quotePrefix="1" xfId="0">
      <alignment horizontal="center" vertical="center" wrapText="1"/>
    </xf>
    <xf numFmtId="1" fontId="0" fillId="15" borderId="15" applyAlignment="1" pivotButton="0" quotePrefix="0" xfId="0">
      <alignment horizontal="center" vertical="center" wrapText="1"/>
    </xf>
    <xf numFmtId="1" fontId="11" fillId="15" borderId="5" applyAlignment="1" pivotButton="0" quotePrefix="0" xfId="0">
      <alignment horizontal="center" vertical="center" wrapText="1"/>
    </xf>
    <xf numFmtId="49" fontId="0" fillId="17" borderId="8" applyAlignment="1" pivotButton="0" quotePrefix="0" xfId="0">
      <alignment horizontal="center" vertical="center" wrapText="1"/>
    </xf>
    <xf numFmtId="1" fontId="0" fillId="15" borderId="5" applyAlignment="1" pivotButton="0" quotePrefix="0" xfId="0">
      <alignment horizontal="center" vertical="center" wrapText="1"/>
    </xf>
    <xf numFmtId="49" fontId="0" fillId="17" borderId="8" applyAlignment="1" pivotButton="0" quotePrefix="1" xfId="0">
      <alignment horizontal="center" vertical="center" wrapText="1"/>
    </xf>
    <xf numFmtId="0" fontId="0" fillId="2" borderId="1" applyAlignment="1" pivotButton="0" quotePrefix="0" xfId="0">
      <alignment horizontal="center" vertical="center" wrapText="1"/>
    </xf>
    <xf numFmtId="49" fontId="0" fillId="0" borderId="1" applyAlignment="1" pivotButton="0" quotePrefix="0" xfId="0">
      <alignment horizontal="center" vertical="center" wrapText="1"/>
    </xf>
    <xf numFmtId="1"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14" fontId="0" fillId="0" borderId="1" applyAlignment="1" pivotButton="0" quotePrefix="0" xfId="0">
      <alignment horizontal="center" vertical="center" wrapText="1"/>
    </xf>
    <xf numFmtId="49" fontId="0" fillId="0" borderId="15" applyAlignment="1" pivotButton="0" quotePrefix="0" xfId="0">
      <alignment horizontal="center" vertical="center" wrapText="1"/>
    </xf>
    <xf numFmtId="1" fontId="0" fillId="0" borderId="15" applyAlignment="1" pivotButton="0" quotePrefix="0" xfId="0">
      <alignment horizontal="center" vertical="center" wrapText="1"/>
    </xf>
    <xf numFmtId="49" fontId="13" fillId="13" borderId="5" applyAlignment="1" pivotButton="0" quotePrefix="0" xfId="0">
      <alignment horizontal="center" vertical="center" wrapText="1"/>
    </xf>
    <xf numFmtId="0" fontId="13" fillId="13" borderId="5" applyAlignment="1" pivotButton="0" quotePrefix="0" xfId="0">
      <alignment horizontal="center" vertical="center" wrapText="1"/>
    </xf>
    <xf numFmtId="0" fontId="13" fillId="14" borderId="5" applyAlignment="1" pivotButton="0" quotePrefix="0" xfId="0">
      <alignment horizontal="center" vertical="center" wrapText="1"/>
    </xf>
    <xf numFmtId="49" fontId="13" fillId="13" borderId="8" applyAlignment="1" pivotButton="0" quotePrefix="0" xfId="0">
      <alignment horizontal="center" vertical="center" wrapText="1"/>
    </xf>
    <xf numFmtId="49" fontId="0" fillId="12" borderId="8" applyAlignment="1" pivotButton="0" quotePrefix="0" xfId="0">
      <alignment horizontal="center" vertical="center" wrapText="1"/>
    </xf>
    <xf numFmtId="49" fontId="13" fillId="4" borderId="8" applyAlignment="1" pivotButton="0" quotePrefix="0" xfId="0">
      <alignment horizontal="center" vertical="center" wrapText="1"/>
    </xf>
    <xf numFmtId="0" fontId="6" fillId="0" borderId="8" applyAlignment="1" pivotButton="0" quotePrefix="0" xfId="0">
      <alignment horizontal="center" vertical="center"/>
    </xf>
    <xf numFmtId="0" fontId="0" fillId="0" borderId="0" pivotButton="0" quotePrefix="0" xfId="0"/>
    <xf numFmtId="0" fontId="0" fillId="0" borderId="8" applyAlignment="1" pivotButton="0" quotePrefix="0" xfId="0">
      <alignment horizontal="center" vertical="center" wrapText="1"/>
    </xf>
    <xf numFmtId="0" fontId="10" fillId="0" borderId="0" applyAlignment="1" pivotButton="0" quotePrefix="0" xfId="0">
      <alignment horizontal="center" vertical="center" wrapText="1"/>
    </xf>
    <xf numFmtId="164" fontId="13" fillId="4" borderId="8" applyAlignment="1" pivotButton="0" quotePrefix="0" xfId="0">
      <alignment horizontal="center" vertical="center" wrapText="1"/>
    </xf>
    <xf numFmtId="164" fontId="0" fillId="4" borderId="15" applyAlignment="1" pivotButton="0" quotePrefix="0" xfId="0">
      <alignment horizontal="center" vertical="center" wrapText="1"/>
    </xf>
    <xf numFmtId="0" fontId="6" fillId="4" borderId="17" applyAlignment="1" pivotButton="0" quotePrefix="0" xfId="0">
      <alignment horizontal="center" vertical="center" wrapText="1"/>
    </xf>
    <xf numFmtId="0" fontId="0" fillId="0" borderId="18" pivotButton="0" quotePrefix="0" xfId="0"/>
    <xf numFmtId="0" fontId="6" fillId="0" borderId="8" applyAlignment="1" pivotButton="0" quotePrefix="0" xfId="0">
      <alignment horizontal="center" vertical="center"/>
    </xf>
    <xf numFmtId="0" fontId="0" fillId="0" borderId="16" pivotButton="0" quotePrefix="0" xfId="0"/>
    <xf numFmtId="0" fontId="0" fillId="0" borderId="5" applyAlignment="1" pivotButton="0" quotePrefix="0" xfId="0">
      <alignment horizontal="center"/>
    </xf>
    <xf numFmtId="0" fontId="0" fillId="0" borderId="3" pivotButton="0" quotePrefix="0" xfId="0"/>
    <xf numFmtId="0" fontId="0" fillId="0" borderId="4" pivotButton="0" quotePrefix="0" xfId="0"/>
    <xf numFmtId="0" fontId="3" fillId="0" borderId="5" applyAlignment="1" pivotButton="0" quotePrefix="0" xfId="0">
      <alignment horizontal="left" vertical="center" wrapText="1"/>
    </xf>
    <xf numFmtId="14" fontId="0" fillId="0" borderId="2" applyAlignment="1" pivotButton="0" quotePrefix="0" xfId="0">
      <alignment horizontal="center"/>
    </xf>
    <xf numFmtId="0" fontId="0" fillId="0" borderId="5" applyAlignment="1" pivotButton="0" quotePrefix="0" xfId="0">
      <alignment horizontal="center" vertical="center"/>
    </xf>
    <xf numFmtId="0" fontId="6" fillId="2" borderId="8" applyAlignment="1" pivotButton="0" quotePrefix="0" xfId="0">
      <alignment horizontal="center" vertical="center"/>
    </xf>
    <xf numFmtId="0" fontId="0" fillId="0" borderId="10" pivotButton="0" quotePrefix="0" xfId="0"/>
    <xf numFmtId="0" fontId="0" fillId="0" borderId="19" pivotButton="0" quotePrefix="0" xfId="0"/>
    <xf numFmtId="0" fontId="3" fillId="0" borderId="2" applyAlignment="1" pivotButton="0" quotePrefix="0" xfId="0">
      <alignment horizontal="center" vertical="center" wrapText="1"/>
    </xf>
    <xf numFmtId="0" fontId="9"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0" fillId="0" borderId="2" applyAlignment="1" pivotButton="0" quotePrefix="0" xfId="0">
      <alignment horizontal="center" vertical="center"/>
    </xf>
    <xf numFmtId="0" fontId="0" fillId="0" borderId="12" applyAlignment="1" pivotButton="0" quotePrefix="0" xfId="0">
      <alignment horizontal="center"/>
    </xf>
    <xf numFmtId="0" fontId="0" fillId="0" borderId="11" pivotButton="0" quotePrefix="0" xfId="0"/>
    <xf numFmtId="14" fontId="0" fillId="0" borderId="8" applyAlignment="1" pivotButton="0" quotePrefix="0" xfId="0">
      <alignment horizontal="center" vertical="center"/>
    </xf>
    <xf numFmtId="0" fontId="0" fillId="0" borderId="23" pivotButton="0" quotePrefix="0" xfId="0"/>
    <xf numFmtId="0" fontId="0" fillId="0" borderId="20" pivotButton="0" quotePrefix="0" xfId="0"/>
    <xf numFmtId="0" fontId="0" fillId="0" borderId="17" pivotButton="0" quotePrefix="0" xfId="0"/>
    <xf numFmtId="0" fontId="0" fillId="0" borderId="24" pivotButton="0" quotePrefix="0" xfId="0"/>
    <xf numFmtId="0" fontId="0" fillId="0" borderId="8" applyAlignment="1" pivotButton="0" quotePrefix="0" xfId="0">
      <alignment horizontal="left" vertical="center" wrapText="1"/>
    </xf>
    <xf numFmtId="0" fontId="6" fillId="0" borderId="15" applyAlignment="1" pivotButton="0" quotePrefix="0" xfId="0">
      <alignment horizontal="center" vertical="center"/>
    </xf>
    <xf numFmtId="14" fontId="6" fillId="0" borderId="8" applyAlignment="1" pivotButton="0" quotePrefix="0" xfId="0">
      <alignment horizontal="center" vertical="center"/>
    </xf>
    <xf numFmtId="0" fontId="0" fillId="0" borderId="8" applyAlignment="1" pivotButton="0" quotePrefix="0" xfId="0">
      <alignment horizontal="center" vertical="center"/>
    </xf>
    <xf numFmtId="0" fontId="2" fillId="0" borderId="2" applyAlignment="1" pivotButton="0" quotePrefix="0" xfId="0">
      <alignment horizontal="center" vertical="center" wrapText="1"/>
    </xf>
    <xf numFmtId="0" fontId="1" fillId="0" borderId="5" applyAlignment="1" pivotButton="0" quotePrefix="0" xfId="0">
      <alignment horizontal="center" vertical="center"/>
    </xf>
    <xf numFmtId="0" fontId="0" fillId="0" borderId="6" pivotButton="0" quotePrefix="0" xfId="0"/>
    <xf numFmtId="0" fontId="0" fillId="0" borderId="7" pivotButton="0" quotePrefix="0" xfId="0"/>
    <xf numFmtId="0" fontId="4" fillId="0" borderId="5"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0" pivotButton="0" quotePrefix="0" xfId="0"/>
    <xf numFmtId="0" fontId="0" fillId="0" borderId="25" pivotButton="0" quotePrefix="0" xfId="0"/>
    <xf numFmtId="0" fontId="0" fillId="0" borderId="22" pivotButton="0" quotePrefix="0" xfId="0"/>
    <xf numFmtId="0" fontId="0" fillId="0" borderId="26" pivotButton="0" quotePrefix="0" xfId="0"/>
    <xf numFmtId="0" fontId="0" fillId="0" borderId="27" pivotButton="0" quotePrefix="0" xfId="0"/>
    <xf numFmtId="0" fontId="0" fillId="0" borderId="1" applyAlignment="1" pivotButton="0" quotePrefix="0" xfId="0">
      <alignment horizontal="center"/>
    </xf>
    <xf numFmtId="0" fontId="0" fillId="0" borderId="8" applyAlignment="1" pivotButton="0" quotePrefix="0" xfId="0">
      <alignment horizontal="center" vertical="center" wrapText="1"/>
    </xf>
    <xf numFmtId="165" fontId="0" fillId="0" borderId="2" applyAlignment="1" pivotButton="0" quotePrefix="0" xfId="0">
      <alignment horizontal="center"/>
    </xf>
    <xf numFmtId="0" fontId="0" fillId="0" borderId="1" applyAlignment="1" pivotButton="0" quotePrefix="0" xfId="0">
      <alignment horizontal="center" vertical="center"/>
    </xf>
    <xf numFmtId="0" fontId="13" fillId="8" borderId="0" applyAlignment="1" pivotButton="0" quotePrefix="0" xfId="0">
      <alignment horizontal="center" vertical="center" wrapText="1"/>
    </xf>
    <xf numFmtId="0" fontId="13" fillId="0" borderId="0" applyAlignment="1" pivotButton="0" quotePrefix="0" xfId="0">
      <alignment horizontal="center" vertical="center" wrapText="1"/>
    </xf>
    <xf numFmtId="0" fontId="13" fillId="5" borderId="0" applyAlignment="1" pivotButton="0" quotePrefix="0" xfId="0">
      <alignment horizontal="center" vertical="center" wrapText="1"/>
    </xf>
    <xf numFmtId="1" fontId="11" fillId="7" borderId="0" applyAlignment="1" pivotButton="0" quotePrefix="0" xfId="0">
      <alignment horizontal="center" vertical="center" wrapText="1"/>
    </xf>
    <xf numFmtId="0" fontId="11" fillId="7" borderId="0" applyAlignment="1" pivotButton="0" quotePrefix="0" xfId="0">
      <alignment horizontal="center" vertical="center" wrapText="1"/>
    </xf>
    <xf numFmtId="14" fontId="13" fillId="0" borderId="0" applyAlignment="1" pivotButton="0" quotePrefix="0" xfId="0">
      <alignment horizontal="center" vertical="center" wrapText="1"/>
    </xf>
    <xf numFmtId="14" fontId="13" fillId="5" borderId="0" applyAlignment="1" pivotButton="0" quotePrefix="0" xfId="0">
      <alignment horizontal="center" vertical="center" wrapText="1"/>
    </xf>
    <xf numFmtId="20" fontId="13" fillId="0" borderId="0" applyAlignment="1" pivotButton="0" quotePrefix="0" xfId="0">
      <alignment horizontal="center" vertical="center" wrapText="1"/>
    </xf>
    <xf numFmtId="20" fontId="13" fillId="5" borderId="0" applyAlignment="1" pivotButton="0" quotePrefix="0" xfId="0">
      <alignment horizontal="center" vertical="center" wrapText="1"/>
    </xf>
    <xf numFmtId="1" fontId="13" fillId="0" borderId="0" applyAlignment="1" pivotButton="0" quotePrefix="0" xfId="0">
      <alignment horizontal="center" vertical="center" wrapText="1"/>
    </xf>
    <xf numFmtId="1" fontId="13" fillId="5" borderId="0" applyAlignment="1" pivotButton="0" quotePrefix="0" xfId="0">
      <alignment horizontal="center" vertical="center" wrapText="1"/>
    </xf>
    <xf numFmtId="14" fontId="13" fillId="8" borderId="0" applyAlignment="1" pivotButton="0" quotePrefix="0" xfId="0">
      <alignment horizontal="center" vertical="center" wrapText="1"/>
    </xf>
    <xf numFmtId="0" fontId="13" fillId="7" borderId="0" pivotButton="0" quotePrefix="0" xfId="0"/>
    <xf numFmtId="20" fontId="13" fillId="10" borderId="0" applyAlignment="1" pivotButton="0" quotePrefix="0" xfId="0">
      <alignment horizontal="center" vertical="center" wrapText="1"/>
    </xf>
    <xf numFmtId="20" fontId="13" fillId="7" borderId="0" applyAlignment="1" pivotButton="0" quotePrefix="0" xfId="0">
      <alignment horizontal="center" vertical="center" wrapText="1"/>
    </xf>
    <xf numFmtId="1" fontId="14" fillId="5" borderId="0" applyAlignment="1" pivotButton="0" quotePrefix="0" xfId="0">
      <alignment horizontal="center" vertical="center"/>
    </xf>
    <xf numFmtId="1" fontId="13" fillId="7" borderId="0" applyAlignment="1" pivotButton="0" quotePrefix="0" xfId="0">
      <alignment horizontal="center" vertical="center"/>
    </xf>
    <xf numFmtId="1" fontId="12" fillId="7" borderId="0" applyAlignment="1" pivotButton="0" quotePrefix="0" xfId="0">
      <alignment horizontal="center" vertical="center"/>
    </xf>
    <xf numFmtId="1" fontId="13" fillId="9" borderId="0" applyAlignment="1" pivotButton="0" quotePrefix="0" xfId="0">
      <alignment horizontal="center" vertical="center"/>
    </xf>
    <xf numFmtId="0" fontId="17" fillId="9" borderId="0" pivotButton="0" quotePrefix="0" xfId="0"/>
    <xf numFmtId="0" fontId="11" fillId="11" borderId="0" applyAlignment="1" pivotButton="0" quotePrefix="0" xfId="0">
      <alignment horizontal="center" vertical="center" wrapText="1"/>
    </xf>
    <xf numFmtId="1" fontId="11" fillId="11" borderId="0" applyAlignment="1" pivotButton="0" quotePrefix="0" xfId="0">
      <alignment horizontal="center" vertical="center" wrapText="1"/>
    </xf>
    <xf numFmtId="1" fontId="16" fillId="0" borderId="0" applyAlignment="1" pivotButton="0" quotePrefix="0" xfId="0">
      <alignment horizontal="center" vertical="center"/>
    </xf>
    <xf numFmtId="1" fontId="18" fillId="0" borderId="0" applyAlignment="1" pivotButton="0" quotePrefix="0" xfId="0">
      <alignment horizontal="center" vertical="center"/>
    </xf>
    <xf numFmtId="1" fontId="18" fillId="5" borderId="0" applyAlignment="1" pivotButton="0" quotePrefix="0" xfId="0">
      <alignment horizontal="center" vertical="center"/>
    </xf>
    <xf numFmtId="1" fontId="15" fillId="5" borderId="0" applyAlignment="1" pivotButton="0" quotePrefix="0" xfId="0">
      <alignment horizontal="center" vertical="center" wrapText="1"/>
    </xf>
    <xf numFmtId="1" fontId="15" fillId="0" borderId="0" applyAlignment="1" pivotButton="0" quotePrefix="0" xfId="0">
      <alignment horizontal="center" vertical="center" wrapText="1"/>
    </xf>
  </cellXfs>
  <cellStyles count="1">
    <cellStyle name="Normal" xfId="0" builtinId="0"/>
  </cellStyles>
  <dxfs count="30">
    <dxf>
      <numFmt numFmtId="0" formatCode="General"/>
      <fill>
        <patternFill patternType="solid">
          <fgColor indexed="64"/>
          <bgColor rgb="FFFFFF00"/>
        </patternFill>
      </fill>
      <alignment horizontal="center" vertical="center" wrapText="1"/>
      <border outline="0">
        <left style="thin">
          <color indexed="64"/>
        </left>
        <right style="thin">
          <color indexed="64"/>
        </right>
        <top style="thin">
          <color indexed="64"/>
        </top>
        <bottom style="thin">
          <color indexed="64"/>
        </bottom>
      </border>
    </dxf>
    <dxf>
      <numFmt numFmtId="30" formatCode="@"/>
      <alignment horizontal="center" vertical="center" wrapText="1"/>
      <border outline="0">
        <left style="thin">
          <color indexed="64"/>
        </left>
        <right style="thin">
          <color indexed="64"/>
        </right>
        <top style="thin">
          <color indexed="64"/>
        </top>
        <bottom style="thin">
          <color indexed="64"/>
        </bottom>
      </border>
    </dxf>
    <dxf>
      <numFmt numFmtId="30" formatCode="@"/>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horizontal/>
      </border>
    </dxf>
    <dxf>
      <numFmt numFmtId="30" formatCode="@"/>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horizontal/>
      </border>
    </dxf>
    <dxf>
      <numFmt numFmtId="30" formatCode="@"/>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dd/mm/yyyy"/>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horizontal/>
      </border>
    </dxf>
    <dxf>
      <numFmt numFmtId="164" formatCode="dd/mm/yyyy"/>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horizontal/>
      </border>
    </dxf>
    <dxf>
      <numFmt numFmtId="164" formatCode="dd/mm/yyyy"/>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solid">
          <fgColor indexed="64"/>
          <bgColor theme="5" tint="0.599993896298104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center" vertical="center" wrapText="1"/>
      <border>
        <left style="thin">
          <color rgb="FF000000"/>
        </left>
        <right style="thin">
          <color rgb="FF000000"/>
        </right>
        <top style="thin">
          <color rgb="FF000000"/>
        </top>
        <bottom style="thin">
          <color rgb="FF000000"/>
        </bottom>
        <vertical/>
        <horizontal/>
      </border>
    </dxf>
    <dxf>
      <numFmt numFmtId="30" formatCode="@"/>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 formatCode="0"/>
      <alignment horizontal="center" vertical="center" wrapText="1"/>
      <border outline="0">
        <left style="thin">
          <color rgb="FF000000"/>
        </left>
        <right style="thin">
          <color rgb="FF000000"/>
        </right>
        <top style="thin">
          <color rgb="FF000000"/>
        </top>
        <bottom style="thin">
          <color rgb="FF000000"/>
        </bottom>
      </border>
    </dxf>
    <dxf>
      <numFmt numFmtId="30" formatCode="@"/>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center" vertical="center" wrapText="1"/>
      <border>
        <left style="thin">
          <color indexed="64"/>
        </left>
        <right style="thin">
          <color indexed="64"/>
        </right>
        <top style="thin">
          <color indexed="64"/>
        </top>
        <bottom style="thin">
          <color indexed="64"/>
        </bottom>
      </border>
    </dxf>
    <dxf>
      <numFmt numFmtId="19" formatCode="d/mm/yyyy"/>
      <alignment horizontal="center" vertical="center" wrapText="1"/>
      <border>
        <left style="thin">
          <color indexed="64"/>
        </left>
        <right style="thin">
          <color indexed="64"/>
        </right>
        <top style="thin">
          <color indexed="64"/>
        </top>
        <bottom style="thin">
          <color indexed="64"/>
        </bottom>
      </border>
    </dxf>
    <dxf>
      <numFmt numFmtId="0" formatCode="General"/>
      <alignment horizontal="center" vertical="center" wrapText="1"/>
      <border>
        <left style="thin">
          <color indexed="64"/>
        </left>
        <right style="thin">
          <color indexed="64"/>
        </right>
        <top style="thin">
          <color indexed="64"/>
        </top>
        <bottom style="thin">
          <color indexed="64"/>
        </bottom>
        <vertical/>
        <horizontal/>
      </border>
    </dxf>
    <dxf>
      <numFmt numFmtId="1" formatCode="0"/>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dxf>
    <dxf>
      <border>
        <bottom style="thin">
          <color rgb="FF000000"/>
        </bottom>
      </border>
    </dxf>
    <dxf>
      <alignment horizontal="center" vertical="center" wrapText="1"/>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9</col>
      <colOff>95250</colOff>
      <row>2</row>
      <rowOff>95250</rowOff>
    </from>
    <to>
      <col>11</col>
      <colOff>800101</colOff>
      <row>3</row>
      <rowOff>257175</rowOff>
    </to>
    <pic>
      <nvPicPr>
        <cNvPr id="2" name="Imagen 1"/>
        <cNvPicPr/>
      </nvPicPr>
      <blipFill>
        <a:blip cstate="print" r:embed="rId1"/>
        <a:srcRect l="6731" t="13333" r="8463" b="18333"/>
        <a:stretch>
          <a:fillRect/>
        </a:stretch>
      </blipFill>
      <spPr bwMode="auto">
        <a:xfrm>
          <a:off x="9410700" y="552450"/>
          <a:ext cx="1571626" cy="552450"/>
        </a:xfrm>
        <a:prstGeom prst="rect">
          <avLst/>
        </a:prstGeom>
        <a:noFill/>
        <a:ln>
          <a:noFill/>
          <a:prstDash val="solid"/>
        </a:ln>
      </spPr>
    </pic>
    <clientData/>
  </twoCellAnchor>
  <twoCellAnchor editAs="oneCell">
    <from>
      <col>1</col>
      <colOff>200025</colOff>
      <row>1</row>
      <rowOff>0</rowOff>
    </from>
    <to>
      <col>1</col>
      <colOff>1200150</colOff>
      <row>3</row>
      <rowOff>333375</rowOff>
    </to>
    <pic>
      <nvPicPr>
        <cNvPr id="3" name="Imagen 2"/>
        <cNvPicPr/>
      </nvPicPr>
      <blipFill>
        <a:blip cstate="print" r:embed="rId2"/>
        <a:srcRect/>
        <a:stretch>
          <a:fillRect/>
        </a:stretch>
      </blipFill>
      <spPr bwMode="auto">
        <a:xfrm>
          <a:off x="371475" y="190500"/>
          <a:ext cx="1000125" cy="990600"/>
        </a:xfrm>
        <a:prstGeom prst="rect">
          <avLst/>
        </a:prstGeom>
        <a:noFill/>
        <a:ln>
          <a:noFill/>
          <a:prstDash val="solid"/>
        </a:ln>
      </spPr>
    </pic>
    <clientData/>
  </twoCellAnchor>
</wsDr>
</file>

<file path=xl/tables/table1.xml><?xml version="1.0" encoding="utf-8"?>
<table xmlns="http://schemas.openxmlformats.org/spreadsheetml/2006/main" id="1" name="OfficeForms.Table" displayName="OfficeForms.Table" ref="A3:AA187" headerRowCount="1" totalsRowShown="0" headerRowDxfId="29" dataDxfId="27" headerRowBorderDxfId="28">
  <autoFilter ref="A3:AA187"/>
  <sortState ref="A4:AA156">
    <sortCondition ref="Q4:Q156"/>
  </sortState>
  <tableColumns count="27">
    <tableColumn id="1" name="CONSECUTIVO" dataDxfId="0">
      <calculatedColumnFormula>ROW() - ROW(OfficeForms.Table[[#Headers],[CONSECUTIVO]])</calculatedColumnFormula>
    </tableColumn>
    <tableColumn id="6" name="Nombre1" dataDxfId="1"/>
    <tableColumn id="7" name="Documento de Identidad" dataDxfId="26">
      <calculatedColumnFormula>IF(OfficeForms.Table[[#This Row],[Nombre1]]="","",VLOOKUP(OfficeForms.Table[[#This Row],[Nombre1]]:OfficeForms.Table[[#This Row],[Nombre1]],CPS!A1:B6,2,FALSE))</calculatedColumnFormula>
    </tableColumn>
    <tableColumn id="2" name="TIPO DE MANTENIMIENTO" dataDxfId="25">
      <calculatedColumnFormula>IF(OfficeForms.Table[[#This Row],[Nombre1]]="","",VLOOKUP(OfficeForms.Table[[#This Row],[Nombre1]]:OfficeForms.Table[[#This Row],[Nombre1]],CPS!A3:C7,2,FALSE))</calculatedColumnFormula>
    </tableColumn>
    <tableColumn id="10" name="Fecha del reporte" dataDxfId="24"/>
    <tableColumn id="11" name="Hora de ingreso" dataDxfId="23"/>
    <tableColumn id="12" name="Nombre del Equipo" dataDxfId="22"/>
    <tableColumn id="13" name="Marca" dataDxfId="21"/>
    <tableColumn id="14" name="Placa del equipo" dataDxfId="20"/>
    <tableColumn id="15" name="Número INTERNO" dataDxfId="19"/>
    <tableColumn id="16" name="Laboratorio de ubicación" dataDxfId="18"/>
    <tableColumn id="17" name="Asignatura" dataDxfId="17"/>
    <tableColumn id="18" name="Número de banco" dataDxfId="16"/>
    <tableColumn id="19" name="Descripción del daño" dataDxfId="15"/>
    <tableColumn id="3" name="observacion " dataDxfId="14"/>
    <tableColumn id="20" name="Técnico " dataDxfId="13"/>
    <tableColumn id="22" name="FECHA DE REALIZACIÓN " dataDxfId="12"/>
    <tableColumn id="4" name="DATOS EMPRESA CONTRATADA " dataDxfId="11"/>
    <tableColumn id="8" name="TIEMPO DE GARANTÍA " dataDxfId="10"/>
    <tableColumn id="23" name="Diagnóstico" dataDxfId="9"/>
    <tableColumn id="24" name="ESPECIFICACIONES DEL MANTENIMIENTO REALIZADO " dataDxfId="8"/>
    <tableColumn id="27" name="ESTADO" dataDxfId="7"/>
    <tableColumn id="25" name="RESPUESTO SOLICITADO" dataDxfId="6"/>
    <tableColumn id="26" name="Link del repuesto" dataDxfId="5"/>
    <tableColumn id="9" name="Estado solicitud" dataDxfId="4"/>
    <tableColumn id="5" name="Celular" dataDxfId="3"/>
    <tableColumn id="21" name="Tipo solicitant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AA199"/>
  <sheetViews>
    <sheetView tabSelected="1" topLeftCell="A158" zoomScale="91" zoomScaleNormal="91" workbookViewId="0">
      <pane xSplit="1" topLeftCell="B1" activePane="topRight" state="frozen"/>
      <selection activeCell="A4" sqref="A4"/>
      <selection pane="topRight" activeCell="D190" sqref="D190"/>
    </sheetView>
  </sheetViews>
  <sheetFormatPr baseColWidth="10" defaultColWidth="9.140625" defaultRowHeight="15"/>
  <cols>
    <col width="14.42578125" customWidth="1" style="11" min="1" max="1"/>
    <col width="18.42578125" customWidth="1" style="33" min="2" max="2"/>
    <col width="23.28515625" customWidth="1" style="33" min="3" max="3"/>
    <col width="21.5703125" bestFit="1" customWidth="1" style="33" min="4" max="4"/>
    <col width="41" customWidth="1" style="34" min="5" max="5"/>
    <col width="12.28515625" customWidth="1" style="33" min="6" max="6"/>
    <col width="15" customWidth="1" style="163" min="7" max="7"/>
    <col width="14.28515625" customWidth="1" style="163" min="8" max="8"/>
    <col width="18.28515625" customWidth="1" style="163" min="9" max="9"/>
    <col width="9.5703125" customWidth="1" style="163" min="10" max="10"/>
    <col width="16.28515625" customWidth="1" style="163" min="11" max="11"/>
    <col width="19" customWidth="1" style="163" min="12" max="12"/>
    <col width="15.28515625" customWidth="1" style="163" min="13" max="13"/>
    <col width="31" customWidth="1" style="163" min="14" max="14"/>
    <col hidden="1" width="31" customWidth="1" style="163" min="15" max="15"/>
    <col width="23.140625" customWidth="1" style="16" min="16" max="16"/>
    <col width="20.7109375" customWidth="1" style="17" min="17" max="17"/>
    <col hidden="1" width="20.7109375" customWidth="1" style="17" min="18" max="19"/>
    <col width="28.5703125" customWidth="1" style="16" min="20" max="20"/>
    <col width="35.140625" customWidth="1" style="16" min="21" max="21"/>
    <col width="26.42578125" customWidth="1" style="33" min="22" max="22"/>
    <col width="21.28515625" customWidth="1" style="33" min="23" max="23"/>
    <col width="15.140625" customWidth="1" style="33" min="24" max="25"/>
    <col width="11.42578125" customWidth="1" style="157" min="26" max="26"/>
    <col width="17" customWidth="1" style="157" min="27" max="27"/>
  </cols>
  <sheetData>
    <row r="1">
      <c r="N1" s="35" t="n"/>
      <c r="O1" s="36" t="n"/>
      <c r="P1" s="122" t="inlineStr">
        <is>
          <t>DILIGENCIAMIENTO DEL TECNICO</t>
        </is>
      </c>
      <c r="Q1" s="123" t="n"/>
      <c r="R1" s="123" t="n"/>
      <c r="S1" s="123" t="n"/>
      <c r="T1" s="123" t="n"/>
      <c r="U1" s="123" t="n"/>
      <c r="V1" s="123" t="n"/>
      <c r="W1" s="123" t="n"/>
      <c r="X1" s="123" t="n"/>
      <c r="Y1" s="44" t="n"/>
    </row>
    <row r="2">
      <c r="A2" s="19" t="n">
        <v>1</v>
      </c>
      <c r="B2" s="37" t="n">
        <v>2</v>
      </c>
      <c r="C2" s="37" t="n">
        <v>3</v>
      </c>
      <c r="D2" s="37" t="n">
        <v>4</v>
      </c>
      <c r="E2" s="37" t="n">
        <v>5</v>
      </c>
      <c r="F2" s="37" t="n">
        <v>6</v>
      </c>
      <c r="G2" s="38" t="n">
        <v>7</v>
      </c>
      <c r="H2" s="39" t="n">
        <v>8</v>
      </c>
      <c r="I2" s="39" t="n">
        <v>9</v>
      </c>
      <c r="J2" s="23" t="n">
        <v>10</v>
      </c>
      <c r="K2" s="39" t="n">
        <v>11</v>
      </c>
      <c r="L2" s="39" t="n">
        <v>12</v>
      </c>
      <c r="M2" s="39" t="n">
        <v>13</v>
      </c>
      <c r="N2" s="39" t="n">
        <v>14</v>
      </c>
      <c r="O2" s="39" t="n">
        <v>15</v>
      </c>
      <c r="P2" s="29" t="n">
        <v>16</v>
      </c>
      <c r="Q2" s="29" t="n">
        <v>17</v>
      </c>
      <c r="R2" s="29" t="n"/>
      <c r="S2" s="29" t="n"/>
      <c r="T2" s="29" t="n">
        <v>18</v>
      </c>
      <c r="U2" s="29" t="n">
        <v>19</v>
      </c>
      <c r="V2" s="29" t="n">
        <v>20</v>
      </c>
      <c r="W2" s="29" t="n">
        <v>21</v>
      </c>
      <c r="X2" s="29" t="n">
        <v>22</v>
      </c>
      <c r="Y2" s="29" t="n">
        <v>23</v>
      </c>
      <c r="Z2" s="29" t="n">
        <v>24</v>
      </c>
      <c r="AA2" s="29" t="n">
        <v>25</v>
      </c>
    </row>
    <row r="3" ht="30" customFormat="1" customHeight="1" s="163">
      <c r="A3" s="20" t="inlineStr">
        <is>
          <t>CONSECUTIVO</t>
        </is>
      </c>
      <c r="B3" s="21" t="inlineStr">
        <is>
          <t>Nombre1</t>
        </is>
      </c>
      <c r="C3" s="41" t="inlineStr">
        <is>
          <t>Documento de Identidad</t>
        </is>
      </c>
      <c r="D3" s="41" t="inlineStr">
        <is>
          <t>TIPO DE MANTENIMIENTO</t>
        </is>
      </c>
      <c r="E3" s="25" t="inlineStr">
        <is>
          <t>Fecha del reporte</t>
        </is>
      </c>
      <c r="F3" s="21" t="inlineStr">
        <is>
          <t>Hora de ingreso</t>
        </is>
      </c>
      <c r="G3" s="18" t="inlineStr">
        <is>
          <t>Nombre del Equipo</t>
        </is>
      </c>
      <c r="H3" s="163" t="inlineStr">
        <is>
          <t>Marca</t>
        </is>
      </c>
      <c r="I3" s="163" t="inlineStr">
        <is>
          <t>Placa del equipo</t>
        </is>
      </c>
      <c r="J3" s="163" t="inlineStr">
        <is>
          <t>Número INTERNO</t>
        </is>
      </c>
      <c r="K3" s="163" t="inlineStr">
        <is>
          <t>Laboratorio de ubicación</t>
        </is>
      </c>
      <c r="L3" s="163" t="inlineStr">
        <is>
          <t>Asignatura</t>
        </is>
      </c>
      <c r="M3" s="163" t="inlineStr">
        <is>
          <t>Número de banco</t>
        </is>
      </c>
      <c r="N3" s="163" t="inlineStr">
        <is>
          <t>Descripción del daño</t>
        </is>
      </c>
      <c r="O3" s="163" t="inlineStr">
        <is>
          <t xml:space="preserve">observacion </t>
        </is>
      </c>
      <c r="P3" s="16" t="inlineStr">
        <is>
          <t xml:space="preserve">Técnico </t>
        </is>
      </c>
      <c r="Q3" s="17" t="inlineStr">
        <is>
          <t xml:space="preserve">FECHA DE REALIZACIÓN </t>
        </is>
      </c>
      <c r="R3" s="17" t="inlineStr">
        <is>
          <t xml:space="preserve">DATOS EMPRESA CONTRATADA </t>
        </is>
      </c>
      <c r="S3" s="17" t="inlineStr">
        <is>
          <t xml:space="preserve">TIEMPO DE GARANTÍA </t>
        </is>
      </c>
      <c r="T3" s="16" t="inlineStr">
        <is>
          <t>Diagnóstico</t>
        </is>
      </c>
      <c r="U3" s="16" t="inlineStr">
        <is>
          <t xml:space="preserve">ESPECIFICACIONES DEL MANTENIMIENTO REALIZADO </t>
        </is>
      </c>
      <c r="V3" s="16" t="inlineStr">
        <is>
          <t>ESTADO</t>
        </is>
      </c>
      <c r="W3" s="16" t="inlineStr">
        <is>
          <t>RESPUESTO SOLICITADO</t>
        </is>
      </c>
      <c r="X3" s="16" t="inlineStr">
        <is>
          <t>Link del repuesto</t>
        </is>
      </c>
      <c r="Y3" s="45" t="inlineStr">
        <is>
          <t>Estado solicitud</t>
        </is>
      </c>
      <c r="Z3" s="43" t="inlineStr">
        <is>
          <t>Celular</t>
        </is>
      </c>
      <c r="AA3" s="43" t="inlineStr">
        <is>
          <t>Tipo solicitante</t>
        </is>
      </c>
    </row>
    <row r="4" ht="225" customFormat="1" customHeight="1" s="26">
      <c r="A4" s="22" t="inlineStr">
        <is>
          <t>S-01</t>
        </is>
      </c>
      <c r="B4" s="168" t="inlineStr">
        <is>
          <t>Juan Camilo Cañas</t>
        </is>
      </c>
      <c r="C4" s="169" t="n">
        <v>1005205581</v>
      </c>
      <c r="D4" s="170" t="inlineStr">
        <is>
          <t>MIP</t>
        </is>
      </c>
      <c r="E4" s="172" t="n">
        <v>46088</v>
      </c>
      <c r="F4" s="174" t="n">
        <v>0.4166666666666667</v>
      </c>
      <c r="G4" s="168" t="inlineStr">
        <is>
          <t>fuentes  DC</t>
        </is>
      </c>
      <c r="H4" s="168" t="inlineStr">
        <is>
          <t>PEAC</t>
        </is>
      </c>
      <c r="I4" s="183" t="n">
        <v>2017090000000</v>
      </c>
      <c r="J4" s="168" t="n"/>
      <c r="K4" s="168" t="inlineStr">
        <is>
          <t>Electrónica A 603</t>
        </is>
      </c>
      <c r="L4" s="168" t="inlineStr">
        <is>
          <t>NA</t>
        </is>
      </c>
      <c r="M4" s="168" t="n"/>
      <c r="N4" s="168"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4" s="168" t="n"/>
      <c r="P4" s="166" t="inlineStr">
        <is>
          <t>Juan Camilo Cañas</t>
        </is>
      </c>
      <c r="Q4" s="177" t="n">
        <v>46088</v>
      </c>
      <c r="R4" s="166" t="inlineStr">
        <is>
          <t>Contratistas laboratorios de IEE</t>
        </is>
      </c>
      <c r="S4" s="166" t="inlineStr">
        <is>
          <t>N.A</t>
        </is>
      </c>
      <c r="T4" s="166" t="inlineStr">
        <is>
          <t>Durante la inspección se evidenció exceso de polvo y suciedad acumulada en el ventilador y en la placa del equipo, lo cual puede afectar la correcta disipación de calor y el funcionamiento adecuado de los componentes electrónicos.</t>
        </is>
      </c>
      <c r="U4"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4" s="46" t="inlineStr">
        <is>
          <t>Operativo</t>
        </is>
      </c>
      <c r="W4" s="46" t="n"/>
      <c r="X4" s="46" t="n"/>
      <c r="Y4" s="31" t="inlineStr">
        <is>
          <t>Finalizada</t>
        </is>
      </c>
      <c r="Z4" s="42" t="n"/>
      <c r="AA4" s="42" t="inlineStr">
        <is>
          <t xml:space="preserve">Tecnico </t>
        </is>
      </c>
    </row>
    <row r="5" ht="225" customHeight="1" s="157">
      <c r="A5" s="22" t="inlineStr">
        <is>
          <t>S-02</t>
        </is>
      </c>
      <c r="B5" s="167" t="inlineStr">
        <is>
          <t>Juan Camilo Cañas</t>
        </is>
      </c>
      <c r="C5" s="169" t="n">
        <v>1005205581</v>
      </c>
      <c r="D5" s="170" t="inlineStr">
        <is>
          <t>MIP</t>
        </is>
      </c>
      <c r="E5" s="171" t="n">
        <v>46088</v>
      </c>
      <c r="F5" s="173" t="n">
        <v>0.4583333333333333</v>
      </c>
      <c r="G5" s="167" t="inlineStr">
        <is>
          <t>fuentes  DC</t>
        </is>
      </c>
      <c r="H5" s="167" t="inlineStr">
        <is>
          <t>PEAKTECH</t>
        </is>
      </c>
      <c r="I5" s="182" t="n">
        <v>410324</v>
      </c>
      <c r="J5" s="167" t="inlineStr">
        <is>
          <t>EA15</t>
        </is>
      </c>
      <c r="K5" s="167" t="inlineStr">
        <is>
          <t>Electrónica A 603</t>
        </is>
      </c>
      <c r="L5" s="167" t="inlineStr">
        <is>
          <t>NA</t>
        </is>
      </c>
      <c r="M5" s="167" t="n"/>
      <c r="N5" s="167"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5" s="167" t="n"/>
      <c r="P5" s="166" t="inlineStr">
        <is>
          <t>Juan Camilo Cañas</t>
        </is>
      </c>
      <c r="Q5" s="177" t="n">
        <v>46088</v>
      </c>
      <c r="R5" s="166" t="inlineStr">
        <is>
          <t>Contratistas laboratorios de IEE</t>
        </is>
      </c>
      <c r="S5" s="166" t="inlineStr">
        <is>
          <t>N.A</t>
        </is>
      </c>
      <c r="T5" s="166" t="inlineStr">
        <is>
          <t>Durante la inspección se evidenció exceso de polvo y suciedad acumulada en el ventilador y en la placa del equipo, lo cual puede afectar la correcta disipación de calor y el funcionamiento adecuado de los componentes electrónicos.</t>
        </is>
      </c>
      <c r="U5"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5" s="46" t="inlineStr">
        <is>
          <t>Operativo</t>
        </is>
      </c>
      <c r="W5" s="166" t="n"/>
      <c r="X5" s="166" t="n"/>
      <c r="Y5" s="31" t="inlineStr">
        <is>
          <t>Finalizada</t>
        </is>
      </c>
      <c r="Z5" s="30" t="n"/>
      <c r="AA5" s="42" t="inlineStr">
        <is>
          <t xml:space="preserve">Tecnico </t>
        </is>
      </c>
    </row>
    <row r="6" ht="225" customHeight="1" s="157">
      <c r="A6" s="22" t="inlineStr">
        <is>
          <t>S-03</t>
        </is>
      </c>
      <c r="B6" s="168" t="inlineStr">
        <is>
          <t>Juan Camilo Cañas</t>
        </is>
      </c>
      <c r="C6" s="169" t="n">
        <v>1005205581</v>
      </c>
      <c r="D6" s="170" t="inlineStr">
        <is>
          <t>MIP</t>
        </is>
      </c>
      <c r="E6" s="172" t="n">
        <v>46088</v>
      </c>
      <c r="F6" s="174" t="n">
        <v>0.5</v>
      </c>
      <c r="G6" s="168" t="inlineStr">
        <is>
          <t>fuentes  DC</t>
        </is>
      </c>
      <c r="H6" s="168" t="inlineStr">
        <is>
          <t>PEAKTECH</t>
        </is>
      </c>
      <c r="I6" s="182" t="n">
        <v>410316</v>
      </c>
      <c r="J6" s="168" t="n"/>
      <c r="K6" s="168" t="inlineStr">
        <is>
          <t>Electrónica A 603</t>
        </is>
      </c>
      <c r="L6" s="168" t="inlineStr">
        <is>
          <t>NA</t>
        </is>
      </c>
      <c r="M6" s="168" t="n"/>
      <c r="N6" s="168"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6" s="168" t="n"/>
      <c r="P6" s="166" t="inlineStr">
        <is>
          <t>Juan Camilo Cañas</t>
        </is>
      </c>
      <c r="Q6" s="177" t="n">
        <v>46088</v>
      </c>
      <c r="R6" s="166" t="inlineStr">
        <is>
          <t>Contratistas laboratorios de IEE</t>
        </is>
      </c>
      <c r="S6" s="166" t="inlineStr">
        <is>
          <t>N.A</t>
        </is>
      </c>
      <c r="T6" s="166" t="inlineStr">
        <is>
          <t>Durante la inspección se evidenció exceso de polvo y suciedad acumulada en el ventilador y en la placa del equipo, lo cual puede afectar la correcta disipación de calor y el funcionamiento adecuado de los componentes electrónicos.</t>
        </is>
      </c>
      <c r="U6"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6" s="46" t="inlineStr">
        <is>
          <t>Operativo</t>
        </is>
      </c>
      <c r="W6" s="166" t="n"/>
      <c r="X6" s="166" t="n"/>
      <c r="Y6" s="31" t="inlineStr">
        <is>
          <t>Finalizada</t>
        </is>
      </c>
      <c r="Z6" s="30" t="n"/>
      <c r="AA6" s="42" t="inlineStr">
        <is>
          <t xml:space="preserve">Tecnico </t>
        </is>
      </c>
    </row>
    <row r="7" ht="225" customHeight="1" s="157">
      <c r="A7" s="22" t="inlineStr">
        <is>
          <t>S-04</t>
        </is>
      </c>
      <c r="B7" s="167" t="inlineStr">
        <is>
          <t>Juan Camilo Cañas</t>
        </is>
      </c>
      <c r="C7" s="169" t="n">
        <v>1005205581</v>
      </c>
      <c r="D7" s="170" t="inlineStr">
        <is>
          <t>MIP</t>
        </is>
      </c>
      <c r="E7" s="171" t="n">
        <v>46088</v>
      </c>
      <c r="F7" s="173" t="n">
        <v>0.5416666666666666</v>
      </c>
      <c r="G7" s="167" t="inlineStr">
        <is>
          <t>fuentes  DC</t>
        </is>
      </c>
      <c r="H7" s="167" t="inlineStr">
        <is>
          <t>PEAKTECH</t>
        </is>
      </c>
      <c r="I7" s="182" t="n">
        <v>410326</v>
      </c>
      <c r="J7" s="167" t="n"/>
      <c r="K7" s="167" t="inlineStr">
        <is>
          <t>Electrónica A 603</t>
        </is>
      </c>
      <c r="L7" s="167" t="inlineStr">
        <is>
          <t>NA</t>
        </is>
      </c>
      <c r="M7" s="167" t="n"/>
      <c r="N7" s="167"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7" s="167" t="n"/>
      <c r="P7" s="166" t="inlineStr">
        <is>
          <t>Juan Camilo Cañas</t>
        </is>
      </c>
      <c r="Q7" s="177" t="n">
        <v>46088</v>
      </c>
      <c r="R7" s="166" t="inlineStr">
        <is>
          <t>Contratistas laboratorios de IEE</t>
        </is>
      </c>
      <c r="S7" s="166" t="inlineStr">
        <is>
          <t>N.A</t>
        </is>
      </c>
      <c r="T7" s="166" t="inlineStr">
        <is>
          <t>Durante la inspección se evidenció exceso de polvo y suciedad acumulada en el ventilador y en la placa del equipo, lo cual puede afectar la correcta disipación de calor y el funcionamiento adecuado de los componentes electrónicos.</t>
        </is>
      </c>
      <c r="U7"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7" s="46" t="inlineStr">
        <is>
          <t>Operativo</t>
        </is>
      </c>
      <c r="W7" s="166" t="n"/>
      <c r="X7" s="166" t="n"/>
      <c r="Y7" s="31" t="inlineStr">
        <is>
          <t>Finalizada</t>
        </is>
      </c>
      <c r="Z7" s="30" t="n"/>
      <c r="AA7" s="42" t="inlineStr">
        <is>
          <t xml:space="preserve">Tecnico </t>
        </is>
      </c>
    </row>
    <row r="8" ht="225" customHeight="1" s="157">
      <c r="A8" s="22" t="inlineStr">
        <is>
          <t>S-05</t>
        </is>
      </c>
      <c r="B8" s="168" t="inlineStr">
        <is>
          <t>Juan Camilo Cañas</t>
        </is>
      </c>
      <c r="C8" s="169" t="n">
        <v>1005205581</v>
      </c>
      <c r="D8" s="170" t="inlineStr">
        <is>
          <t>MIP</t>
        </is>
      </c>
      <c r="E8" s="172" t="n">
        <v>46088</v>
      </c>
      <c r="F8" s="174" t="n">
        <v>0.5833333333333334</v>
      </c>
      <c r="G8" s="168" t="inlineStr">
        <is>
          <t>fuentes  DC</t>
        </is>
      </c>
      <c r="H8" s="168" t="inlineStr">
        <is>
          <t>PEAKTECH</t>
        </is>
      </c>
      <c r="I8" s="182" t="n">
        <v>410325</v>
      </c>
      <c r="J8" s="168" t="n"/>
      <c r="K8" s="168" t="inlineStr">
        <is>
          <t>Electrónica A 603</t>
        </is>
      </c>
      <c r="L8" s="168" t="inlineStr">
        <is>
          <t>NA</t>
        </is>
      </c>
      <c r="M8" s="168" t="n"/>
      <c r="N8" s="168"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8" s="168" t="n"/>
      <c r="P8" s="166" t="inlineStr">
        <is>
          <t>Juan Camilo Cañas</t>
        </is>
      </c>
      <c r="Q8" s="177" t="n">
        <v>46088</v>
      </c>
      <c r="R8" s="166" t="inlineStr">
        <is>
          <t>Contratistas laboratorios de IEE</t>
        </is>
      </c>
      <c r="S8" s="166" t="inlineStr">
        <is>
          <t>N.A</t>
        </is>
      </c>
      <c r="T8" s="166" t="inlineStr">
        <is>
          <t>Durante la inspección se evidenció exceso de polvo y suciedad acumulada en el ventilador y en la placa del equipo, lo cual puede afectar la correcta disipación de calor y el funcionamiento adecuado de los componentes electrónicos.</t>
        </is>
      </c>
      <c r="U8"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8" s="46" t="inlineStr">
        <is>
          <t>Operativo</t>
        </is>
      </c>
      <c r="W8" s="166" t="n"/>
      <c r="X8" s="166" t="n"/>
      <c r="Y8" s="31" t="inlineStr">
        <is>
          <t>Finalizada</t>
        </is>
      </c>
      <c r="Z8" s="30" t="n"/>
      <c r="AA8" s="42" t="inlineStr">
        <is>
          <t xml:space="preserve">Tecnico </t>
        </is>
      </c>
    </row>
    <row r="9" ht="210" customHeight="1" s="157">
      <c r="A9" s="22" t="inlineStr">
        <is>
          <t>S-06</t>
        </is>
      </c>
      <c r="B9" s="168" t="inlineStr">
        <is>
          <t>Juan Camilo Cañas</t>
        </is>
      </c>
      <c r="C9" s="169" t="n">
        <v>1005205581</v>
      </c>
      <c r="D9" s="170" t="inlineStr">
        <is>
          <t>MIP</t>
        </is>
      </c>
      <c r="E9" s="172" t="n">
        <v>46097</v>
      </c>
      <c r="F9" s="174" t="n">
        <v>0.4166666666666667</v>
      </c>
      <c r="G9" s="168" t="inlineStr">
        <is>
          <t xml:space="preserve">Generador de señales </t>
        </is>
      </c>
      <c r="H9" s="168" t="inlineStr">
        <is>
          <t>RIGOL</t>
        </is>
      </c>
      <c r="I9" s="184" t="n">
        <v>410276</v>
      </c>
      <c r="J9" s="168" t="n"/>
      <c r="K9" s="168" t="inlineStr">
        <is>
          <t>Electrónica A 603</t>
        </is>
      </c>
      <c r="L9" s="168" t="inlineStr">
        <is>
          <t>NA</t>
        </is>
      </c>
      <c r="M9" s="168" t="n"/>
      <c r="N9" s="168"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9" s="168" t="n"/>
      <c r="P9" s="166" t="inlineStr">
        <is>
          <t>Juan Camilo Cañas</t>
        </is>
      </c>
      <c r="Q9" s="177" t="n">
        <v>46097</v>
      </c>
      <c r="R9" s="166" t="inlineStr">
        <is>
          <t>Contratistas laboratorios de IEE</t>
        </is>
      </c>
      <c r="S9" s="166" t="inlineStr">
        <is>
          <t>N.A</t>
        </is>
      </c>
      <c r="T9" s="166" t="inlineStr">
        <is>
          <t>Durante la inspección se evidenció exceso de polvo y suciedad acumulada en el ventilador y en la placa del equipo, lo cual puede afectar la correcta disipación de calor y el funcionamiento adecuado de los componentes electrónicos.</t>
        </is>
      </c>
      <c r="U9" s="166" t="inlineStr">
        <is>
          <t>Como parte del mantenimiento, se realizó limpieza externa e interna del equipo, incluyendo panel frontal, pantallas, teclas de control y conectores de salida (BNC). También se efectuó la inspección del cable de alimentación y enchufe, la revisión del estado y funcionamiento de perillas y botones de ajuste, así como la verificación del sistema de ventilación y disipación térmica, con el fin de asegurar un funcionamiento adecuado y confiable del equipo.</t>
        </is>
      </c>
      <c r="V9" s="46" t="inlineStr">
        <is>
          <t>Operativo</t>
        </is>
      </c>
      <c r="W9" s="166" t="n"/>
      <c r="X9" s="166" t="n"/>
      <c r="Y9" s="31" t="inlineStr">
        <is>
          <t>Finalizada</t>
        </is>
      </c>
      <c r="Z9" s="30" t="n"/>
      <c r="AA9" s="42" t="inlineStr">
        <is>
          <t xml:space="preserve">Tecnico </t>
        </is>
      </c>
    </row>
    <row r="10" ht="210" customHeight="1" s="157">
      <c r="A10" s="22" t="inlineStr">
        <is>
          <t>S-07</t>
        </is>
      </c>
      <c r="B10" s="167" t="inlineStr">
        <is>
          <t>Juan Camilo Cañas</t>
        </is>
      </c>
      <c r="C10" s="169" t="n">
        <v>1005205581</v>
      </c>
      <c r="D10" s="170" t="inlineStr">
        <is>
          <t>MIP</t>
        </is>
      </c>
      <c r="E10" s="171" t="n">
        <v>46097</v>
      </c>
      <c r="F10" s="173" t="n">
        <v>0.4583333333333333</v>
      </c>
      <c r="G10" s="167" t="inlineStr">
        <is>
          <t xml:space="preserve">Generador de señales </t>
        </is>
      </c>
      <c r="H10" s="167" t="inlineStr">
        <is>
          <t>RIGOL</t>
        </is>
      </c>
      <c r="I10" s="182" t="n">
        <v>410287</v>
      </c>
      <c r="J10" s="167" t="n"/>
      <c r="K10" s="167" t="inlineStr">
        <is>
          <t>Electrónica A 603</t>
        </is>
      </c>
      <c r="L10" s="167" t="inlineStr">
        <is>
          <t>NA</t>
        </is>
      </c>
      <c r="M10" s="167" t="n"/>
      <c r="N10" s="167"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10" s="167" t="n"/>
      <c r="P10" s="166" t="inlineStr">
        <is>
          <t>Juan Camilo Cañas</t>
        </is>
      </c>
      <c r="Q10" s="177" t="n">
        <v>46097</v>
      </c>
      <c r="R10" s="166" t="inlineStr">
        <is>
          <t>Contratistas laboratorios de IEE</t>
        </is>
      </c>
      <c r="S10" s="166" t="inlineStr">
        <is>
          <t>N.A</t>
        </is>
      </c>
      <c r="T10" s="166" t="inlineStr">
        <is>
          <t>Durante la inspección se evidenció exceso de polvo y suciedad acumulada en el ventilador y en la placa del equipo, lo cual puede afectar la correcta disipación de calor y el funcionamiento adecuado de los componentes electrónicos.</t>
        </is>
      </c>
      <c r="U10" s="166" t="inlineStr">
        <is>
          <t>Como parte del mantenimiento, se realizó limpieza externa e interna del equipo, incluyendo panel frontal, pantallas, teclas de control y conectores de salida (BNC). También se efectuó la inspección del cable de alimentación y enchufe, la revisión del estado y funcionamiento de perillas y botones de ajuste, así como la verificación del sistema de ventilación y disipación térmica, con el fin de asegurar un funcionamiento adecuado y confiable del equipo.</t>
        </is>
      </c>
      <c r="V10" s="46" t="inlineStr">
        <is>
          <t>Operativo</t>
        </is>
      </c>
      <c r="W10" s="166" t="n"/>
      <c r="X10" s="166" t="n"/>
      <c r="Y10" s="31" t="inlineStr">
        <is>
          <t>Finalizada</t>
        </is>
      </c>
      <c r="Z10" s="30" t="n"/>
      <c r="AA10" s="42" t="inlineStr">
        <is>
          <t xml:space="preserve">Tecnico </t>
        </is>
      </c>
    </row>
    <row r="11" ht="45" customHeight="1" s="157">
      <c r="A11" s="22" t="inlineStr">
        <is>
          <t>S-08</t>
        </is>
      </c>
      <c r="B11" s="178" t="inlineStr">
        <is>
          <t>Juan Felipe Bonilla Albaron</t>
        </is>
      </c>
      <c r="C11" s="169" t="n">
        <v>20232005180</v>
      </c>
      <c r="D11" s="168" t="inlineStr">
        <is>
          <t>MIC</t>
        </is>
      </c>
      <c r="E11" s="172" t="n">
        <v>46078</v>
      </c>
      <c r="F11" s="180" t="n">
        <v>0</v>
      </c>
      <c r="G11" s="168" t="inlineStr">
        <is>
          <t>multimetro</t>
        </is>
      </c>
      <c r="H11" s="168" t="inlineStr">
        <is>
          <t>ERASMUS</t>
        </is>
      </c>
      <c r="I11" s="176" t="n">
        <v>27</v>
      </c>
      <c r="J11" s="168" t="n"/>
      <c r="K11" s="168" t="inlineStr">
        <is>
          <t>MAQUINAS B</t>
        </is>
      </c>
      <c r="L11" s="168" t="inlineStr">
        <is>
          <t>MOTORES</t>
        </is>
      </c>
      <c r="M11" s="168" t="n">
        <v>27</v>
      </c>
      <c r="N11" s="168" t="inlineStr">
        <is>
          <t xml:space="preserve">Daño en la bocina </t>
        </is>
      </c>
      <c r="O11" s="168" t="n"/>
      <c r="P11" s="166" t="inlineStr">
        <is>
          <t>Juan Camilo Cañas</t>
        </is>
      </c>
      <c r="Q11" s="177" t="n">
        <v>46106</v>
      </c>
      <c r="R11" s="166" t="inlineStr">
        <is>
          <t>Contratistas laboratorios de IEE</t>
        </is>
      </c>
      <c r="S11" s="166" t="inlineStr">
        <is>
          <t>N.A</t>
        </is>
      </c>
      <c r="T11" s="166" t="inlineStr">
        <is>
          <t xml:space="preserve">Buzzer del multimetro haciendo interferencia por soldadura desprendida </t>
        </is>
      </c>
      <c r="U11" s="166" t="inlineStr">
        <is>
          <t xml:space="preserve">se procede a rectificar la soldadura </t>
        </is>
      </c>
      <c r="V11" s="46" t="inlineStr">
        <is>
          <t>Operativo</t>
        </is>
      </c>
      <c r="W11" s="166" t="n"/>
      <c r="X11" s="166" t="n"/>
      <c r="Y11" s="31" t="inlineStr">
        <is>
          <t>Finalizada</t>
        </is>
      </c>
      <c r="Z11" s="30" t="n"/>
      <c r="AA11" s="42" t="inlineStr">
        <is>
          <t xml:space="preserve">Tecnico </t>
        </is>
      </c>
    </row>
    <row r="12" ht="60" customHeight="1" s="157">
      <c r="A12" s="22" t="inlineStr">
        <is>
          <t>S-09</t>
        </is>
      </c>
      <c r="B12" s="167" t="inlineStr">
        <is>
          <t xml:space="preserve">KAROL ESTEFANIA AGUILAR PALACIOS </t>
        </is>
      </c>
      <c r="C12" s="169" t="n">
        <v>20221007091</v>
      </c>
      <c r="D12" s="170" t="inlineStr">
        <is>
          <t>MIC</t>
        </is>
      </c>
      <c r="E12" s="171" t="n">
        <v>46111</v>
      </c>
      <c r="F12" s="173" t="n">
        <v>0.5</v>
      </c>
      <c r="G12" s="167" t="inlineStr">
        <is>
          <t>FUENTE DC</t>
        </is>
      </c>
      <c r="H12" s="167" t="inlineStr">
        <is>
          <t>PEAKTECH</t>
        </is>
      </c>
      <c r="I12" s="175" t="n">
        <v>410312</v>
      </c>
      <c r="J12" s="167" t="n">
        <v>15</v>
      </c>
      <c r="K12" s="167" t="inlineStr">
        <is>
          <t>MAQUINAS A</t>
        </is>
      </c>
      <c r="L12" s="167" t="inlineStr">
        <is>
          <t>CONVERSION ELECTROMAGNETICA</t>
        </is>
      </c>
      <c r="M12" s="167" t="n">
        <v>4</v>
      </c>
      <c r="N12" s="167" t="inlineStr">
        <is>
          <t>LA FUENTE TIENE EL PULSADOR DONDE SE REALIZAN CAMBIOS DE SERIE, PARALELO, DAÑADO, SE QUEDA PEGADO EL PULSADOR</t>
        </is>
      </c>
      <c r="O12" s="167" t="n"/>
      <c r="P12" s="166" t="inlineStr">
        <is>
          <t>VANESSA CADENA</t>
        </is>
      </c>
      <c r="Q12" s="177" t="n">
        <v>46112</v>
      </c>
      <c r="R12" s="166" t="inlineStr">
        <is>
          <t>Contratistas laboratorios de IEE</t>
        </is>
      </c>
      <c r="S12" s="166" t="inlineStr">
        <is>
          <t>N.A</t>
        </is>
      </c>
      <c r="T12" s="166" t="inlineStr">
        <is>
          <t>SE EVIDENCIA QUE EL PULSADOR PARA PARALELO/SERIE SE QUEDA ATASCADO UNA VEZ SE PULSA</t>
        </is>
      </c>
      <c r="U12" s="166" t="inlineStr">
        <is>
          <t>SE REALIZA EL CAMBIO DEL PULSADOR POR UNO QUE ESTA EN LOS EQUIPOS PARA DAR DE BAJA</t>
        </is>
      </c>
      <c r="V12" s="46" t="inlineStr">
        <is>
          <t>Operativo</t>
        </is>
      </c>
      <c r="W12" s="166" t="n"/>
      <c r="X12" s="166" t="n"/>
      <c r="Y12" s="31" t="inlineStr">
        <is>
          <t>Finalizada</t>
        </is>
      </c>
      <c r="Z12" s="30" t="n"/>
      <c r="AA12" s="42" t="inlineStr">
        <is>
          <t xml:space="preserve">Tecnico </t>
        </is>
      </c>
    </row>
    <row r="13" ht="210" customHeight="1" s="157">
      <c r="A13" s="22" t="inlineStr">
        <is>
          <t>S-10</t>
        </is>
      </c>
      <c r="B13" s="168" t="inlineStr">
        <is>
          <t>Juan Camilo Cañas</t>
        </is>
      </c>
      <c r="C13" s="169" t="n">
        <v>1005205581</v>
      </c>
      <c r="D13" s="170" t="inlineStr">
        <is>
          <t>MIP</t>
        </is>
      </c>
      <c r="E13" s="172" t="n">
        <v>46112</v>
      </c>
      <c r="F13" s="174" t="n">
        <v>0.34375</v>
      </c>
      <c r="G13" s="168" t="inlineStr">
        <is>
          <t xml:space="preserve">Generador de señales </t>
        </is>
      </c>
      <c r="H13" s="168" t="inlineStr">
        <is>
          <t>RIGOL</t>
        </is>
      </c>
      <c r="I13" s="184" t="n">
        <v>410289</v>
      </c>
      <c r="J13" s="168" t="n"/>
      <c r="K13" s="168" t="inlineStr">
        <is>
          <t>Electrónica A 603</t>
        </is>
      </c>
      <c r="L13" s="168" t="inlineStr">
        <is>
          <t>NA</t>
        </is>
      </c>
      <c r="M13" s="168" t="n"/>
      <c r="N13" s="168"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13" s="168" t="n"/>
      <c r="P13" s="166" t="inlineStr">
        <is>
          <t>Juan Camilo Cañas</t>
        </is>
      </c>
      <c r="Q13" s="177" t="n">
        <v>46112</v>
      </c>
      <c r="R13" s="166" t="inlineStr">
        <is>
          <t>Contratistas laboratorios de IEE</t>
        </is>
      </c>
      <c r="S13" s="166" t="inlineStr">
        <is>
          <t>N.A</t>
        </is>
      </c>
      <c r="T13" s="166" t="inlineStr">
        <is>
          <t>Durante la inspección se evidenció exceso de polvo y suciedad acumulada en el ventilador y en la placa del equipo, lo cual puede afectar la correcta disipación de calor y el funcionamiento adecuado de los componentes electrónicos.</t>
        </is>
      </c>
      <c r="U13" s="166" t="inlineStr">
        <is>
          <t>Como parte del mantenimiento, se realizó limpieza externa e interna del equipo, incluyendo panel frontal, pantallas, teclas de control y conectores de salida (BNC). También se efectuó la inspección del cable de alimentación y enchufe, la revisión del estado y funcionamiento de perillas y botones de ajuste, así como la verificación del sistema de ventilación y disipación térmica, con el fin de asegurar un funcionamiento adecuado y confiable del equipo.</t>
        </is>
      </c>
      <c r="V13" s="46" t="inlineStr">
        <is>
          <t>Operativo</t>
        </is>
      </c>
      <c r="W13" s="166" t="n"/>
      <c r="X13" s="166" t="n"/>
      <c r="Y13" s="31" t="inlineStr">
        <is>
          <t>Finalizada</t>
        </is>
      </c>
      <c r="Z13" s="30" t="n"/>
      <c r="AA13" s="42" t="inlineStr">
        <is>
          <t xml:space="preserve">Tecnico </t>
        </is>
      </c>
    </row>
    <row r="14" ht="210" customHeight="1" s="157">
      <c r="A14" s="22" t="inlineStr">
        <is>
          <t>S-11</t>
        </is>
      </c>
      <c r="B14" s="167" t="inlineStr">
        <is>
          <t>Juan Camilo Cañas</t>
        </is>
      </c>
      <c r="C14" s="169" t="n">
        <v>1005205581</v>
      </c>
      <c r="D14" s="170" t="inlineStr">
        <is>
          <t>MIP</t>
        </is>
      </c>
      <c r="E14" s="171" t="n">
        <v>46112</v>
      </c>
      <c r="F14" s="173" t="n">
        <v>0.3958333333333333</v>
      </c>
      <c r="G14" s="167" t="inlineStr">
        <is>
          <t xml:space="preserve">Generador de señales </t>
        </is>
      </c>
      <c r="H14" s="167" t="inlineStr">
        <is>
          <t>RIGOL</t>
        </is>
      </c>
      <c r="I14" s="182" t="n">
        <v>410291</v>
      </c>
      <c r="J14" s="167" t="n"/>
      <c r="K14" s="167" t="inlineStr">
        <is>
          <t>Electrónica A 603</t>
        </is>
      </c>
      <c r="L14" s="167" t="inlineStr">
        <is>
          <t>NA</t>
        </is>
      </c>
      <c r="M14" s="167" t="n"/>
      <c r="N14" s="167"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14" s="167" t="n"/>
      <c r="P14" s="166" t="inlineStr">
        <is>
          <t>Juan Camilo Cañas</t>
        </is>
      </c>
      <c r="Q14" s="177" t="n">
        <v>46112</v>
      </c>
      <c r="R14" s="166" t="inlineStr">
        <is>
          <t>Contratistas laboratorios de IEE</t>
        </is>
      </c>
      <c r="S14" s="166" t="inlineStr">
        <is>
          <t>N.A</t>
        </is>
      </c>
      <c r="T14" s="166" t="inlineStr">
        <is>
          <t>Durante la inspección se evidenció exceso de polvo y suciedad acumulada en el ventilador y en la placa del equipo, lo cual puede afectar la correcta disipación de calor y el funcionamiento adecuado de los componentes electrónicos.</t>
        </is>
      </c>
      <c r="U14" s="166" t="inlineStr">
        <is>
          <t>Como parte del mantenimiento, se realizó limpieza externa e interna del equipo, incluyendo panel frontal, pantallas, teclas de control y conectores de salida (BNC). También se efectuó la inspección del cable de alimentación y enchufe, la revisión del estado y funcionamiento de perillas y botones de ajuste, así como la verificación del sistema de ventilación y disipación térmica, con el fin de asegurar un funcionamiento adecuado y confiable del equipo.</t>
        </is>
      </c>
      <c r="V14" s="46" t="inlineStr">
        <is>
          <t>Operativo</t>
        </is>
      </c>
      <c r="W14" s="166" t="n"/>
      <c r="X14" s="166" t="n"/>
      <c r="Y14" s="31" t="inlineStr">
        <is>
          <t>Finalizada</t>
        </is>
      </c>
      <c r="Z14" s="30" t="n"/>
      <c r="AA14" s="42" t="inlineStr">
        <is>
          <t xml:space="preserve">Tecnico </t>
        </is>
      </c>
    </row>
    <row r="15" ht="210" customHeight="1" s="157">
      <c r="A15" s="22" t="inlineStr">
        <is>
          <t>S-12</t>
        </is>
      </c>
      <c r="B15" s="168" t="inlineStr">
        <is>
          <t>Juan Camilo Cañas</t>
        </is>
      </c>
      <c r="C15" s="169" t="n">
        <v>1005205581</v>
      </c>
      <c r="D15" s="170" t="inlineStr">
        <is>
          <t>MIP</t>
        </is>
      </c>
      <c r="E15" s="172" t="n">
        <v>46112</v>
      </c>
      <c r="F15" s="174" t="n">
        <v>0.4479166666666667</v>
      </c>
      <c r="G15" s="168" t="inlineStr">
        <is>
          <t xml:space="preserve">Generador de señales </t>
        </is>
      </c>
      <c r="H15" s="168" t="inlineStr">
        <is>
          <t>RIGOL</t>
        </is>
      </c>
      <c r="I15" s="184" t="n">
        <v>410292</v>
      </c>
      <c r="J15" s="168" t="n"/>
      <c r="K15" s="168" t="inlineStr">
        <is>
          <t>Electrónica A 603</t>
        </is>
      </c>
      <c r="L15" s="168" t="inlineStr">
        <is>
          <t>NA</t>
        </is>
      </c>
      <c r="M15" s="168" t="n"/>
      <c r="N15" s="168"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15" s="168" t="n"/>
      <c r="P15" s="166" t="inlineStr">
        <is>
          <t>Juan Camilo Cañas</t>
        </is>
      </c>
      <c r="Q15" s="177" t="n">
        <v>46112</v>
      </c>
      <c r="R15" s="166" t="inlineStr">
        <is>
          <t>Contratistas laboratorios de IEE</t>
        </is>
      </c>
      <c r="S15" s="166" t="inlineStr">
        <is>
          <t>N.A</t>
        </is>
      </c>
      <c r="T15" s="166" t="inlineStr">
        <is>
          <t>Durante la inspección se evidenció exceso de polvo y suciedad acumulada en el ventilador y en la placa del equipo, lo cual puede afectar la correcta disipación de calor y el funcionamiento adecuado de los componentes electrónicos.</t>
        </is>
      </c>
      <c r="U15" s="166" t="inlineStr">
        <is>
          <t>Como parte del mantenimiento, se realizó limpieza externa e interna del equipo, incluyendo panel frontal, pantallas, teclas de control y conectores de salida (BNC). También se efectuó la inspección del cable de alimentación y enchufe, la revisión del estado y funcionamiento de perillas y botones de ajuste, así como la verificación del sistema de ventilación y disipación térmica, con el fin de asegurar un funcionamiento adecuado y confiable del equipo.</t>
        </is>
      </c>
      <c r="V15" s="46" t="inlineStr">
        <is>
          <t>Operativo</t>
        </is>
      </c>
      <c r="W15" s="166" t="n"/>
      <c r="X15" s="166" t="n"/>
      <c r="Y15" s="31" t="inlineStr">
        <is>
          <t>Finalizada</t>
        </is>
      </c>
      <c r="Z15" s="30" t="n"/>
      <c r="AA15" s="42" t="inlineStr">
        <is>
          <t xml:space="preserve">Tecnico </t>
        </is>
      </c>
    </row>
    <row r="16" ht="210" customHeight="1" s="157">
      <c r="A16" s="22" t="inlineStr">
        <is>
          <t>S-13</t>
        </is>
      </c>
      <c r="B16" s="167" t="inlineStr">
        <is>
          <t>Juan Camilo Cañas</t>
        </is>
      </c>
      <c r="C16" s="169" t="n">
        <v>1005205581</v>
      </c>
      <c r="D16" s="170" t="inlineStr">
        <is>
          <t>MIP</t>
        </is>
      </c>
      <c r="E16" s="171" t="n">
        <v>46112</v>
      </c>
      <c r="F16" s="173" t="n">
        <v>0.5</v>
      </c>
      <c r="G16" s="167" t="inlineStr">
        <is>
          <t xml:space="preserve">Generador de señales </t>
        </is>
      </c>
      <c r="H16" s="167" t="inlineStr">
        <is>
          <t>RIGOL</t>
        </is>
      </c>
      <c r="I16" s="182" t="n">
        <v>410273</v>
      </c>
      <c r="J16" s="167" t="n"/>
      <c r="K16" s="167" t="inlineStr">
        <is>
          <t>Electrónica A 603</t>
        </is>
      </c>
      <c r="L16" s="167" t="inlineStr">
        <is>
          <t>NA</t>
        </is>
      </c>
      <c r="M16" s="167" t="n"/>
      <c r="N16" s="167"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16" s="167" t="n"/>
      <c r="P16" s="166" t="inlineStr">
        <is>
          <t>Juan Camilo Cañas</t>
        </is>
      </c>
      <c r="Q16" s="177" t="n">
        <v>46112</v>
      </c>
      <c r="R16" s="166" t="inlineStr">
        <is>
          <t>Contratistas laboratorios de IEE</t>
        </is>
      </c>
      <c r="S16" s="166" t="inlineStr">
        <is>
          <t>N.A</t>
        </is>
      </c>
      <c r="T16" s="166" t="inlineStr">
        <is>
          <t>Durante la inspección se evidenció exceso de polvo y suciedad acumulada en el ventilador y en la placa del equipo, lo cual puede afectar la correcta disipación de calor y el funcionamiento adecuado de los componentes electrónicos.</t>
        </is>
      </c>
      <c r="U16" s="166" t="inlineStr">
        <is>
          <t>Como parte del mantenimiento, se realizó limpieza externa e interna del equipo, incluyendo panel frontal, pantallas, teclas de control y conectores de salida (BNC). También se efectuó la inspección del cable de alimentación y enchufe, la revisión del estado y funcionamiento de perillas y botones de ajuste, así como la verificación del sistema de ventilación y disipación térmica, con el fin de asegurar un funcionamiento adecuado y confiable del equipo.</t>
        </is>
      </c>
      <c r="V16" s="46" t="inlineStr">
        <is>
          <t>Operativo</t>
        </is>
      </c>
      <c r="W16" s="166" t="n"/>
      <c r="X16" s="166" t="n"/>
      <c r="Y16" s="31" t="inlineStr">
        <is>
          <t>Finalizada</t>
        </is>
      </c>
      <c r="Z16" s="30" t="n"/>
      <c r="AA16" s="42" t="inlineStr">
        <is>
          <t xml:space="preserve">Tecnico </t>
        </is>
      </c>
    </row>
    <row r="17" ht="225" customHeight="1" s="157">
      <c r="A17" s="22" t="inlineStr">
        <is>
          <t>S-14</t>
        </is>
      </c>
      <c r="B17" s="168" t="inlineStr">
        <is>
          <t>Juan Camilo Cañas</t>
        </is>
      </c>
      <c r="C17" s="169" t="n">
        <v>1005205581</v>
      </c>
      <c r="D17" s="170" t="inlineStr">
        <is>
          <t>MIP</t>
        </is>
      </c>
      <c r="E17" s="172" t="n">
        <v>46118</v>
      </c>
      <c r="F17" s="179" t="n">
        <v>0.425</v>
      </c>
      <c r="G17" s="168" t="inlineStr">
        <is>
          <t>Fuente Dc</t>
        </is>
      </c>
      <c r="H17" s="168" t="inlineStr">
        <is>
          <t>PEAKTECH</t>
        </is>
      </c>
      <c r="I17" s="181" t="n">
        <v>410327</v>
      </c>
      <c r="J17" s="168" t="n"/>
      <c r="K17" s="168" t="inlineStr">
        <is>
          <t>Electrónica B 604</t>
        </is>
      </c>
      <c r="L17" s="168" t="inlineStr">
        <is>
          <t>NA</t>
        </is>
      </c>
      <c r="M17" s="168" t="n"/>
      <c r="N17" s="168"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17" s="168" t="n"/>
      <c r="P17" s="166" t="inlineStr">
        <is>
          <t>Juan Camilo Cañas</t>
        </is>
      </c>
      <c r="Q17" s="177" t="n">
        <v>46118</v>
      </c>
      <c r="R17" s="166" t="inlineStr">
        <is>
          <t>Contratistas laboratorios de IEE</t>
        </is>
      </c>
      <c r="S17" s="166" t="inlineStr">
        <is>
          <t>N.A</t>
        </is>
      </c>
      <c r="T17" s="166" t="inlineStr">
        <is>
          <t>Durante la inspección se evidenció exceso de polvo y suciedad acumulada en el ventilador y en la placa del equipo, lo cual puede afectar la correcta disipación de calor y el funcionamiento adecuado de los componentes electrónicos.</t>
        </is>
      </c>
      <c r="U17"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17" s="46" t="inlineStr">
        <is>
          <t>Operativo</t>
        </is>
      </c>
      <c r="W17" s="166" t="n"/>
      <c r="X17" s="166" t="n"/>
      <c r="Y17" s="31" t="inlineStr">
        <is>
          <t>Finalizada</t>
        </is>
      </c>
      <c r="Z17" s="30" t="n"/>
      <c r="AA17" s="42" t="inlineStr">
        <is>
          <t xml:space="preserve">Tecnico </t>
        </is>
      </c>
    </row>
    <row r="18" ht="225" customHeight="1" s="157">
      <c r="A18" s="22" t="inlineStr">
        <is>
          <t>S-15</t>
        </is>
      </c>
      <c r="B18" s="167" t="inlineStr">
        <is>
          <t>Juan Camilo Cañas</t>
        </is>
      </c>
      <c r="C18" s="169" t="n">
        <v>1005205581</v>
      </c>
      <c r="D18" s="170" t="inlineStr">
        <is>
          <t>MIP</t>
        </is>
      </c>
      <c r="E18" s="171" t="n">
        <v>46118</v>
      </c>
      <c r="F18" s="173" t="n">
        <v>0.46875</v>
      </c>
      <c r="G18" s="167" t="inlineStr">
        <is>
          <t>Fuente Dc</t>
        </is>
      </c>
      <c r="H18" s="167" t="inlineStr">
        <is>
          <t>PEAKTECH</t>
        </is>
      </c>
      <c r="I18" s="192" t="n">
        <v>110331</v>
      </c>
      <c r="J18" s="167" t="n"/>
      <c r="K18" s="167" t="inlineStr">
        <is>
          <t>Electrónica B 604</t>
        </is>
      </c>
      <c r="L18" s="167" t="inlineStr">
        <is>
          <t>NA</t>
        </is>
      </c>
      <c r="M18" s="167" t="n"/>
      <c r="N18" s="167"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18" s="167" t="n"/>
      <c r="P18" s="166" t="inlineStr">
        <is>
          <t>Juan Camilo Cañas</t>
        </is>
      </c>
      <c r="Q18" s="177" t="n">
        <v>46118</v>
      </c>
      <c r="R18" s="166" t="inlineStr">
        <is>
          <t>Contratistas laboratorios de IEE</t>
        </is>
      </c>
      <c r="S18" s="166" t="inlineStr">
        <is>
          <t>N.A</t>
        </is>
      </c>
      <c r="T18" s="166" t="inlineStr">
        <is>
          <t>Durante la inspección se evidenció exceso de polvo y suciedad acumulada en el ventilador y en la placa del equipo, lo cual puede afectar la correcta disipación de calor y el funcionamiento adecuado de los componentes electrónicos.</t>
        </is>
      </c>
      <c r="U18"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18" s="46" t="inlineStr">
        <is>
          <t>Operativo</t>
        </is>
      </c>
      <c r="W18" s="166" t="n"/>
      <c r="X18" s="166" t="n"/>
      <c r="Y18" s="31" t="inlineStr">
        <is>
          <t>Finalizada</t>
        </is>
      </c>
      <c r="Z18" s="30" t="n"/>
      <c r="AA18" s="42" t="inlineStr">
        <is>
          <t xml:space="preserve">Tecnico </t>
        </is>
      </c>
    </row>
    <row r="19" ht="90" customHeight="1" s="157">
      <c r="A19" s="22" t="inlineStr">
        <is>
          <t>S-16</t>
        </is>
      </c>
      <c r="B19" s="168" t="inlineStr">
        <is>
          <t xml:space="preserve">KAROL ESTEFANIA AGUILAR PALACIOS </t>
        </is>
      </c>
      <c r="C19" s="169" t="n">
        <v>20221007091</v>
      </c>
      <c r="D19" s="170" t="inlineStr">
        <is>
          <t>MIC</t>
        </is>
      </c>
      <c r="E19" s="172" t="n">
        <v>46120</v>
      </c>
      <c r="F19" s="174" t="n">
        <v>0.4166666666666667</v>
      </c>
      <c r="G19" s="168" t="inlineStr">
        <is>
          <t>PINZA VATIMETRICA</t>
        </is>
      </c>
      <c r="H19" s="168" t="inlineStr">
        <is>
          <t>ERASMUS</t>
        </is>
      </c>
      <c r="I19" s="176" t="inlineStr">
        <is>
          <t>MBIH079931</t>
        </is>
      </c>
      <c r="J19" s="168" t="n">
        <v>12</v>
      </c>
      <c r="K19" s="168" t="inlineStr">
        <is>
          <t>MAQUINAS A</t>
        </is>
      </c>
      <c r="L19" s="168" t="inlineStr">
        <is>
          <t>CIRCUITOS 2</t>
        </is>
      </c>
      <c r="M19" s="168" t="inlineStr">
        <is>
          <t>ARMARIO 1</t>
        </is>
      </c>
      <c r="N19" s="168" t="inlineStr">
        <is>
          <t>LA PINZA ESTA DESCALIBRADA</t>
        </is>
      </c>
      <c r="O19" s="168" t="n"/>
      <c r="P19" s="166" t="inlineStr">
        <is>
          <t>VANESSA CADENA</t>
        </is>
      </c>
      <c r="Q19" s="177" t="n">
        <v>46120</v>
      </c>
      <c r="R19" s="166" t="inlineStr">
        <is>
          <t>Contratistas laboratorios de IEE</t>
        </is>
      </c>
      <c r="S19" s="166" t="inlineStr">
        <is>
          <t>N.A</t>
        </is>
      </c>
      <c r="T19" s="166" t="inlineStr">
        <is>
          <t>SE REALIZA LA VERIFICACION Y SE COMPARA CON DOS PINZAS MAS Y SE EVENCIA QUE NO ESTAN DANDO LOS MISMOS VALORES</t>
        </is>
      </c>
      <c r="U19" s="166" t="inlineStr">
        <is>
          <t xml:space="preserve">SE DESTAPA EL EQUIPO SIN EMBARGO NO SE EVIDENCIA NADA ANORMAL, POR LO QUE AL NO CONTAR CON LOS EQUIPOS NECESARIOS PARA LA CALIBRACION NO SE PUEDE HACER MAS </t>
        </is>
      </c>
      <c r="V19" s="46" t="inlineStr">
        <is>
          <t>Mantenimiento externo</t>
        </is>
      </c>
      <c r="W19" s="166" t="n"/>
      <c r="X19" s="166" t="n"/>
      <c r="Y19" s="31" t="inlineStr">
        <is>
          <t>Finalizada</t>
        </is>
      </c>
      <c r="Z19" s="30" t="n"/>
      <c r="AA19" s="30" t="inlineStr">
        <is>
          <t xml:space="preserve">Estudiante </t>
        </is>
      </c>
    </row>
    <row r="20" ht="75" customHeight="1" s="157">
      <c r="A20" s="22" t="inlineStr">
        <is>
          <t>S-17</t>
        </is>
      </c>
      <c r="B20" s="167" t="inlineStr">
        <is>
          <t>NICOLAS VELASQUEZ AMARILLO</t>
        </is>
      </c>
      <c r="C20" s="169" t="n">
        <v>20202005010</v>
      </c>
      <c r="D20" s="170" t="inlineStr">
        <is>
          <t>MIC</t>
        </is>
      </c>
      <c r="E20" s="171" t="n">
        <v>46121</v>
      </c>
      <c r="F20" s="173" t="n">
        <v>0.4166666666666667</v>
      </c>
      <c r="G20" s="167" t="inlineStr">
        <is>
          <t>CARGA RESISTIVA TRIFASICA</t>
        </is>
      </c>
      <c r="H20" s="167" t="inlineStr">
        <is>
          <t>SOLINGENI</t>
        </is>
      </c>
      <c r="I20" s="175" t="n">
        <v>2020080300002</v>
      </c>
      <c r="J20" s="167" t="n">
        <v>3</v>
      </c>
      <c r="K20" s="167" t="inlineStr">
        <is>
          <t>MAQUINAS A</t>
        </is>
      </c>
      <c r="L20" s="167" t="inlineStr">
        <is>
          <t>TRANSFORMADORES</t>
        </is>
      </c>
      <c r="M20" s="167" t="n"/>
      <c r="N20" s="167" t="inlineStr">
        <is>
          <t>AISLADORES QUEMADOS, CONECTORES ROTOS</t>
        </is>
      </c>
      <c r="O20" s="167" t="n"/>
      <c r="P20" s="166" t="inlineStr">
        <is>
          <t>CARLOS RODRIGUEZ</t>
        </is>
      </c>
      <c r="Q20" s="177" t="n">
        <v>46121</v>
      </c>
      <c r="R20" s="166" t="inlineStr">
        <is>
          <t>Contratistas laboratorios de IEE</t>
        </is>
      </c>
      <c r="S20" s="166" t="inlineStr">
        <is>
          <t>N.A</t>
        </is>
      </c>
      <c r="T20" s="166" t="inlineStr">
        <is>
          <t>LOS AISLADORES INTERNOS DE LAS CARGAS ESTABAN AGRIETADOS Y ROTOS E IGUAL QUE LOS BORNES DE CONEXION</t>
        </is>
      </c>
      <c r="U20" s="166" t="inlineStr">
        <is>
          <t xml:space="preserve">SE SOLDAN LOS BORNES, SE AJUSTAN LOS AISLADORES Y SE CORRIGEN CON </t>
        </is>
      </c>
      <c r="V20" s="46" t="inlineStr">
        <is>
          <t>Operativo</t>
        </is>
      </c>
      <c r="W20" s="166" t="n"/>
      <c r="X20" s="166" t="n"/>
      <c r="Y20" s="31" t="inlineStr">
        <is>
          <t>Finalizada</t>
        </is>
      </c>
      <c r="Z20" s="30" t="n"/>
      <c r="AA20" s="30" t="inlineStr">
        <is>
          <t xml:space="preserve">Estudiante </t>
        </is>
      </c>
    </row>
    <row r="21" ht="225" customHeight="1" s="157">
      <c r="A21" s="22" t="inlineStr">
        <is>
          <t>S-18</t>
        </is>
      </c>
      <c r="B21" s="168" t="inlineStr">
        <is>
          <t>Juan Camilo Cañas</t>
        </is>
      </c>
      <c r="C21" s="169" t="n">
        <v>1005205581</v>
      </c>
      <c r="D21" s="170" t="inlineStr">
        <is>
          <t>MIP</t>
        </is>
      </c>
      <c r="E21" s="172" t="n">
        <v>46123</v>
      </c>
      <c r="F21" s="179" t="n">
        <v>0.3472222222222222</v>
      </c>
      <c r="G21" s="168" t="inlineStr">
        <is>
          <t>Fuente Dc</t>
        </is>
      </c>
      <c r="H21" s="168" t="inlineStr">
        <is>
          <t>PEAKTECH</t>
        </is>
      </c>
      <c r="I21" s="191" t="n">
        <v>20250926005</v>
      </c>
      <c r="J21" s="168" t="n"/>
      <c r="K21" s="168" t="inlineStr">
        <is>
          <t>Electrónica B 604</t>
        </is>
      </c>
      <c r="L21" s="168" t="inlineStr">
        <is>
          <t>NA</t>
        </is>
      </c>
      <c r="M21" s="168" t="n"/>
      <c r="N21" s="168"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21" s="168" t="n"/>
      <c r="P21" s="166" t="inlineStr">
        <is>
          <t>Juan Camilo Cañas</t>
        </is>
      </c>
      <c r="Q21" s="177" t="n">
        <v>46123</v>
      </c>
      <c r="R21" s="166" t="inlineStr">
        <is>
          <t>Contratistas laboratorios de IEE</t>
        </is>
      </c>
      <c r="S21" s="166" t="inlineStr">
        <is>
          <t>N.A</t>
        </is>
      </c>
      <c r="T21" s="166" t="inlineStr">
        <is>
          <t>Durante la inspección se evidenció exceso de polvo y suciedad acumulada en el ventilador y en la placa del equipo, lo cual puede afectar la correcta disipación de calor y el funcionamiento adecuado de los componentes electrónicos.</t>
        </is>
      </c>
      <c r="U21"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21" s="46" t="inlineStr">
        <is>
          <t>Operativo</t>
        </is>
      </c>
      <c r="W21" s="166" t="n"/>
      <c r="X21" s="166" t="n"/>
      <c r="Y21" s="31" t="inlineStr">
        <is>
          <t>Finalizada</t>
        </is>
      </c>
      <c r="Z21" s="30" t="n"/>
      <c r="AA21" s="30" t="inlineStr">
        <is>
          <t xml:space="preserve">Tecnico </t>
        </is>
      </c>
    </row>
    <row r="22" ht="225" customHeight="1" s="157">
      <c r="A22" s="22" t="inlineStr">
        <is>
          <t>S-19</t>
        </is>
      </c>
      <c r="B22" s="167" t="inlineStr">
        <is>
          <t>Juan Camilo Cañas</t>
        </is>
      </c>
      <c r="C22" s="169" t="n">
        <v>1005205581</v>
      </c>
      <c r="D22" s="170" t="inlineStr">
        <is>
          <t>MIP</t>
        </is>
      </c>
      <c r="E22" s="171" t="n">
        <v>46123</v>
      </c>
      <c r="F22" s="173" t="n">
        <v>0.3819444444444444</v>
      </c>
      <c r="G22" s="167" t="inlineStr">
        <is>
          <t>Fuente Dc</t>
        </is>
      </c>
      <c r="H22" s="167" t="inlineStr">
        <is>
          <t>PEAKTECH</t>
        </is>
      </c>
      <c r="I22" s="192" t="n">
        <v>410331</v>
      </c>
      <c r="J22" s="167" t="n"/>
      <c r="K22" s="167" t="inlineStr">
        <is>
          <t>Electrónica B 604</t>
        </is>
      </c>
      <c r="L22" s="167" t="inlineStr">
        <is>
          <t>NA</t>
        </is>
      </c>
      <c r="M22" s="167" t="n"/>
      <c r="N22" s="167"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22" s="167" t="n"/>
      <c r="P22" s="166" t="inlineStr">
        <is>
          <t>Juan Camilo Cañas</t>
        </is>
      </c>
      <c r="Q22" s="177" t="n">
        <v>46123</v>
      </c>
      <c r="R22" s="166" t="inlineStr">
        <is>
          <t>Contratistas laboratorios de IEE</t>
        </is>
      </c>
      <c r="S22" s="166" t="inlineStr">
        <is>
          <t>N.A</t>
        </is>
      </c>
      <c r="T22" s="166" t="inlineStr">
        <is>
          <t>Durante la inspección se evidenció exceso de polvo y suciedad acumulada en el ventilador y en la placa del equipo, lo cual puede afectar la correcta disipación de calor y el funcionamiento adecuado de los componentes electrónicos.</t>
        </is>
      </c>
      <c r="U22"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22" s="46" t="inlineStr">
        <is>
          <t>Operativo</t>
        </is>
      </c>
      <c r="W22" s="166" t="n"/>
      <c r="X22" s="166" t="n"/>
      <c r="Y22" s="31" t="inlineStr">
        <is>
          <t>Finalizada</t>
        </is>
      </c>
      <c r="Z22" s="30" t="n"/>
      <c r="AA22" s="30" t="inlineStr">
        <is>
          <t xml:space="preserve">Tecnico </t>
        </is>
      </c>
    </row>
    <row r="23" ht="225" customHeight="1" s="157">
      <c r="A23" s="22" t="inlineStr">
        <is>
          <t>S-20</t>
        </is>
      </c>
      <c r="B23" s="167" t="inlineStr">
        <is>
          <t>Juan Camilo Cañas</t>
        </is>
      </c>
      <c r="C23" s="169" t="n">
        <v>1005205581</v>
      </c>
      <c r="D23" s="170" t="inlineStr">
        <is>
          <t>MIP</t>
        </is>
      </c>
      <c r="E23" s="171" t="n">
        <v>46123</v>
      </c>
      <c r="F23" s="173" t="n">
        <v>0.4513888888888889</v>
      </c>
      <c r="G23" s="167" t="inlineStr">
        <is>
          <t>Fuente Dc</t>
        </is>
      </c>
      <c r="H23" s="167" t="inlineStr">
        <is>
          <t>PEAKTECH</t>
        </is>
      </c>
      <c r="I23" s="188" t="n">
        <v>410330</v>
      </c>
      <c r="J23" s="167" t="n"/>
      <c r="K23" s="167" t="inlineStr">
        <is>
          <t>Electrónica B 604</t>
        </is>
      </c>
      <c r="L23" s="167" t="inlineStr">
        <is>
          <t>NA</t>
        </is>
      </c>
      <c r="M23" s="167" t="n"/>
      <c r="N23" s="167"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23" s="167" t="n"/>
      <c r="P23" s="166" t="inlineStr">
        <is>
          <t>Juan Camilo Cañas</t>
        </is>
      </c>
      <c r="Q23" s="177" t="n">
        <v>46123</v>
      </c>
      <c r="R23" s="166" t="inlineStr">
        <is>
          <t>Contratistas laboratorios de IEE</t>
        </is>
      </c>
      <c r="S23" s="166" t="inlineStr">
        <is>
          <t>N.A</t>
        </is>
      </c>
      <c r="T23" s="166" t="inlineStr">
        <is>
          <t>Durante la inspección se evidenció exceso de polvo y suciedad acumulada en el ventilador y en la placa del equipo, lo cual puede afectar la correcta disipación de calor y el funcionamiento adecuado de los componentes electrónicos.</t>
        </is>
      </c>
      <c r="U23"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23" s="46" t="inlineStr">
        <is>
          <t>Operativo</t>
        </is>
      </c>
      <c r="W23" s="166" t="n"/>
      <c r="X23" s="166" t="n"/>
      <c r="Y23" s="31" t="inlineStr">
        <is>
          <t>Finalizada</t>
        </is>
      </c>
      <c r="Z23" s="30" t="n"/>
      <c r="AA23" s="30" t="inlineStr">
        <is>
          <t xml:space="preserve">Tecnico </t>
        </is>
      </c>
    </row>
    <row r="24" ht="225" customHeight="1" s="157">
      <c r="A24" s="22" t="inlineStr">
        <is>
          <t>S-21</t>
        </is>
      </c>
      <c r="B24" s="168" t="inlineStr">
        <is>
          <t>Juan Camilo Cañas</t>
        </is>
      </c>
      <c r="C24" s="169" t="n">
        <v>1005205581</v>
      </c>
      <c r="D24" s="170" t="inlineStr">
        <is>
          <t>MIP</t>
        </is>
      </c>
      <c r="E24" s="172" t="n">
        <v>46123</v>
      </c>
      <c r="F24" s="179" t="n">
        <v>0.4861111111111111</v>
      </c>
      <c r="G24" s="168" t="inlineStr">
        <is>
          <t>Fuente Dc</t>
        </is>
      </c>
      <c r="H24" s="168" t="inlineStr">
        <is>
          <t>PEAKTECH</t>
        </is>
      </c>
      <c r="I24" s="191" t="n">
        <v>410315</v>
      </c>
      <c r="J24" s="168" t="n"/>
      <c r="K24" s="168" t="inlineStr">
        <is>
          <t>Electrónica B 604</t>
        </is>
      </c>
      <c r="L24" s="168" t="inlineStr">
        <is>
          <t>NA</t>
        </is>
      </c>
      <c r="M24" s="168" t="n"/>
      <c r="N24" s="168" t="inlineStr">
        <is>
          <t>Se realizará MIP de limpieza interna y externa del equipo, de acuerdo con los tiempos establecidos en el cronograma de mantenimiento. Esta intervención se lleva a cabo con el fin de prevenir fallas asociadas a la acumulación de polvo, suciedad y posibles falsos contactos, los cuales pueden afectar el desempeño, la seguridad y la vida útil del equipo.</t>
        </is>
      </c>
      <c r="O24" s="168" t="n"/>
      <c r="P24" s="166" t="inlineStr">
        <is>
          <t>Juan Camilo Cañas</t>
        </is>
      </c>
      <c r="Q24" s="177" t="n">
        <v>46123</v>
      </c>
      <c r="R24" s="166" t="inlineStr">
        <is>
          <t>Contratistas laboratorios de IEE</t>
        </is>
      </c>
      <c r="S24" s="166" t="inlineStr">
        <is>
          <t>N.A</t>
        </is>
      </c>
      <c r="T24" s="166" t="inlineStr">
        <is>
          <t>Durante la inspección se evidenció exceso de polvo y suciedad acumulada en el ventilador y en la placa del equipo, lo cual puede afectar la correcta disipación de calor y el funcionamiento adecuado de los componentes electrónicos.</t>
        </is>
      </c>
      <c r="U24" s="166" t="inlineStr">
        <is>
          <t>Como parte del mantenimiento, se realizó limpieza externa e interna del equipo, incluyendo la limpieza de las placas de circuito con limpiacontactos. Asimismo, se efectuó la limpieza de bornes, conectores, panel frontal y pantallas. Adicionalmente, se llevó a cabo la revisión y ajuste de perillas de control, inspección del cable de alimentación, verificación de interruptores y evaluación del sistema de ventilación, garantizando el correcto funcionamiento del equipo.</t>
        </is>
      </c>
      <c r="V24" s="46" t="inlineStr">
        <is>
          <t>Operativo</t>
        </is>
      </c>
      <c r="W24" s="166" t="n"/>
      <c r="X24" s="166" t="n"/>
      <c r="Y24" s="31" t="inlineStr">
        <is>
          <t>Finalizada</t>
        </is>
      </c>
      <c r="Z24" s="30" t="n"/>
      <c r="AA24" s="30" t="inlineStr">
        <is>
          <t xml:space="preserve">Tecnico </t>
        </is>
      </c>
    </row>
    <row r="25" ht="60" customHeight="1" s="157">
      <c r="A25" s="22" t="inlineStr">
        <is>
          <t>S-22</t>
        </is>
      </c>
      <c r="B25" s="167" t="inlineStr">
        <is>
          <t>Juan Camilo Cañas</t>
        </is>
      </c>
      <c r="C25" s="169" t="n">
        <v>1005205581</v>
      </c>
      <c r="D25" s="167" t="inlineStr">
        <is>
          <t xml:space="preserve">MIC </t>
        </is>
      </c>
      <c r="E25" s="171" t="n">
        <v>46111</v>
      </c>
      <c r="F25" s="180" t="n">
        <v>0.5222222222222223</v>
      </c>
      <c r="G25" s="167" t="inlineStr">
        <is>
          <t>Fuente Dc</t>
        </is>
      </c>
      <c r="H25" s="167" t="inlineStr">
        <is>
          <t>PEAKTECH</t>
        </is>
      </c>
      <c r="I25" s="175" t="inlineStr">
        <is>
          <t>DS1AD105201432</t>
        </is>
      </c>
      <c r="J25" s="167" t="n"/>
      <c r="K25" s="167" t="inlineStr">
        <is>
          <t>Electrónica A 603</t>
        </is>
      </c>
      <c r="L25" s="167" t="inlineStr">
        <is>
          <t>NA</t>
        </is>
      </c>
      <c r="M25" s="167" t="n"/>
      <c r="N25" s="167" t="inlineStr">
        <is>
          <t>TIENE UN BOTON DAÑADO MECANICAMENTE (BOTON ENCENDIDO )</t>
        </is>
      </c>
      <c r="O25" s="167" t="n"/>
      <c r="P25" s="166" t="inlineStr">
        <is>
          <t>Juan Camilo Cañas</t>
        </is>
      </c>
      <c r="Q25" s="177" t="n">
        <v>46126</v>
      </c>
      <c r="R25" s="166" t="inlineStr">
        <is>
          <t>Contratistas laboratorios de IEE</t>
        </is>
      </c>
      <c r="S25" s="166" t="inlineStr">
        <is>
          <t>N.A</t>
        </is>
      </c>
      <c r="T25" s="166" t="inlineStr">
        <is>
          <t xml:space="preserve">EL MECANISMO DEL INTERRUPTOR DE ENCENDIDO FUFRIO DAÑO A NIVEL MECANICO </t>
        </is>
      </c>
      <c r="U25" s="166" t="inlineStr">
        <is>
          <t xml:space="preserve">Se procedio a cambiar el interruptor por uno extraido de un osciloscopio dañado </t>
        </is>
      </c>
      <c r="V25" s="46" t="inlineStr">
        <is>
          <t>Operativo</t>
        </is>
      </c>
      <c r="W25" s="166" t="n"/>
      <c r="X25" s="166" t="n"/>
      <c r="Y25" s="31" t="inlineStr">
        <is>
          <t>Finalizada</t>
        </is>
      </c>
      <c r="Z25" s="30" t="n"/>
      <c r="AA25" s="30" t="inlineStr">
        <is>
          <t xml:space="preserve">Tecnico </t>
        </is>
      </c>
    </row>
    <row r="26" ht="60" customHeight="1" s="157">
      <c r="A26" s="22" t="inlineStr">
        <is>
          <t>S-23</t>
        </is>
      </c>
      <c r="B26" s="185" t="inlineStr">
        <is>
          <t xml:space="preserve">DAVID SANTIAGO CASTELLANOS </t>
        </is>
      </c>
      <c r="C26" s="169" t="n">
        <v>20241007005</v>
      </c>
      <c r="D26" s="168" t="inlineStr">
        <is>
          <t xml:space="preserve">MIC </t>
        </is>
      </c>
      <c r="E26" s="172" t="n">
        <v>46106</v>
      </c>
      <c r="F26" s="174" t="n">
        <v>0.5416666666666666</v>
      </c>
      <c r="G26" s="168" t="inlineStr">
        <is>
          <t>multimetro</t>
        </is>
      </c>
      <c r="H26" s="168" t="inlineStr">
        <is>
          <t>ERASMUS</t>
        </is>
      </c>
      <c r="I26" s="176" t="n">
        <v>9</v>
      </c>
      <c r="J26" s="168" t="n"/>
      <c r="K26" s="185" t="inlineStr">
        <is>
          <t>CIRCUITOS A 607</t>
        </is>
      </c>
      <c r="L26" s="168" t="inlineStr">
        <is>
          <t>CIRCUITOS 1</t>
        </is>
      </c>
      <c r="M26" s="168" t="n">
        <v>9</v>
      </c>
      <c r="N26" s="168" t="inlineStr">
        <is>
          <t xml:space="preserve">PERILLA SELECTORA DEL MULTIMETRO DAÑADO </t>
        </is>
      </c>
      <c r="O26" s="168" t="n"/>
      <c r="P26" s="166" t="inlineStr">
        <is>
          <t>Juan Camilo Cañas</t>
        </is>
      </c>
      <c r="Q26" s="177" t="n">
        <v>46126</v>
      </c>
      <c r="R26" s="166" t="inlineStr">
        <is>
          <t>Contratistas laboratorios de IEE</t>
        </is>
      </c>
      <c r="S26" s="166" t="inlineStr">
        <is>
          <t>N.A</t>
        </is>
      </c>
      <c r="T26" s="166" t="n"/>
      <c r="U26" s="166" t="inlineStr">
        <is>
          <t>Cambio de perilla, se realiza el cambio con uno de los multimetros que se encunetran en proceso para dar de baja (79)</t>
        </is>
      </c>
      <c r="V26" s="166" t="inlineStr">
        <is>
          <t>Operativo</t>
        </is>
      </c>
      <c r="W26" s="166" t="n"/>
      <c r="X26" s="166" t="n"/>
      <c r="Y26" s="31" t="inlineStr">
        <is>
          <t>Finalizada</t>
        </is>
      </c>
      <c r="Z26" s="30" t="n"/>
      <c r="AA26" s="30" t="inlineStr">
        <is>
          <t xml:space="preserve">Tecnico </t>
        </is>
      </c>
    </row>
    <row r="27" ht="30" customHeight="1" s="157">
      <c r="A27" s="22" t="inlineStr">
        <is>
          <t>S-24</t>
        </is>
      </c>
      <c r="B27" s="186" t="inlineStr">
        <is>
          <t>CARLOS RODRIGUEZ</t>
        </is>
      </c>
      <c r="C27" s="169" t="n">
        <v>1003496413</v>
      </c>
      <c r="D27" s="170" t="inlineStr">
        <is>
          <t xml:space="preserve">MANTENIMIENTO </t>
        </is>
      </c>
      <c r="E27" s="186" t="n"/>
      <c r="F27" s="186" t="n"/>
      <c r="G27" s="186" t="n"/>
      <c r="H27" s="186" t="n"/>
      <c r="I27" s="187" t="n"/>
      <c r="J27" s="186" t="n"/>
      <c r="K27" s="186" t="n"/>
      <c r="L27" s="186" t="n"/>
      <c r="M27" s="186" t="n"/>
      <c r="N27" s="186" t="n"/>
      <c r="O27" s="186" t="n"/>
      <c r="P27" s="186" t="n"/>
      <c r="Q27" s="186" t="n"/>
      <c r="R27" s="166" t="inlineStr">
        <is>
          <t>Contratistas laboratorios de IEE</t>
        </is>
      </c>
      <c r="S27" s="166" t="inlineStr">
        <is>
          <t>N.A</t>
        </is>
      </c>
      <c r="T27" s="186" t="n"/>
      <c r="U27" s="186" t="n"/>
      <c r="V27" s="47" t="n"/>
      <c r="W27" s="186" t="n"/>
      <c r="X27" s="186" t="n"/>
      <c r="Y27" s="31" t="inlineStr">
        <is>
          <t>Finalizada</t>
        </is>
      </c>
      <c r="Z27" s="30" t="n"/>
      <c r="AA27" s="30" t="inlineStr">
        <is>
          <t xml:space="preserve">Tecnico </t>
        </is>
      </c>
    </row>
    <row r="28" ht="45" customHeight="1" s="157">
      <c r="A28" s="22" t="inlineStr">
        <is>
          <t>S-25</t>
        </is>
      </c>
      <c r="B28" s="168" t="inlineStr">
        <is>
          <t>VANESSA CADENA</t>
        </is>
      </c>
      <c r="C28" s="169" t="n">
        <v>1001203428</v>
      </c>
      <c r="D28" s="170" t="inlineStr">
        <is>
          <t>MIP</t>
        </is>
      </c>
      <c r="E28" s="172" t="n">
        <v>46091</v>
      </c>
      <c r="F28" s="174" t="n">
        <v>0.3333333333333333</v>
      </c>
      <c r="G28" s="168" t="inlineStr">
        <is>
          <t>FUENTE DC</t>
        </is>
      </c>
      <c r="H28" s="168" t="inlineStr">
        <is>
          <t>PEAKTECH</t>
        </is>
      </c>
      <c r="I28" s="176" t="n">
        <v>410320</v>
      </c>
      <c r="J28" s="168" t="n"/>
      <c r="K28" s="168" t="inlineStr">
        <is>
          <t>MAQUINAS A</t>
        </is>
      </c>
      <c r="L28" s="168" t="inlineStr">
        <is>
          <t>NA</t>
        </is>
      </c>
      <c r="M28" s="168" t="n">
        <v>1</v>
      </c>
      <c r="N28" s="168" t="inlineStr">
        <is>
          <t>SE REALIZA LIMPIEZA Y CONEXION Y DESCONEXION DE COMPONENTES</t>
        </is>
      </c>
      <c r="O28" s="168" t="n"/>
      <c r="P28" s="166" t="n"/>
      <c r="Q28" s="166" t="n"/>
      <c r="R28" s="166" t="inlineStr">
        <is>
          <t>Contratistas laboratorios de IEE</t>
        </is>
      </c>
      <c r="S28" s="166" t="inlineStr">
        <is>
          <t>N.A</t>
        </is>
      </c>
      <c r="T28" s="166" t="n"/>
      <c r="U28" s="166" t="n"/>
      <c r="V28" s="46" t="n"/>
      <c r="W28" s="166" t="n"/>
      <c r="X28" s="166" t="n"/>
      <c r="Y28" s="31" t="inlineStr">
        <is>
          <t>Finalizada</t>
        </is>
      </c>
      <c r="Z28" s="30" t="n"/>
      <c r="AA28" s="30" t="inlineStr">
        <is>
          <t xml:space="preserve">Tecnico </t>
        </is>
      </c>
    </row>
    <row r="29" ht="45" customHeight="1" s="157">
      <c r="A29" s="22" t="inlineStr">
        <is>
          <t>S-26</t>
        </is>
      </c>
      <c r="B29" s="167" t="inlineStr">
        <is>
          <t>VANESSA CADENA</t>
        </is>
      </c>
      <c r="C29" s="169" t="n">
        <v>1001203428</v>
      </c>
      <c r="D29" s="170" t="inlineStr">
        <is>
          <t>MIP</t>
        </is>
      </c>
      <c r="E29" s="171" t="n">
        <v>46092</v>
      </c>
      <c r="F29" s="173" t="n">
        <v>0.5</v>
      </c>
      <c r="G29" s="167" t="inlineStr">
        <is>
          <t>FUENTE DC</t>
        </is>
      </c>
      <c r="H29" s="167" t="inlineStr">
        <is>
          <t>PEAKTECH</t>
        </is>
      </c>
      <c r="I29" s="175" t="n">
        <v>90166417</v>
      </c>
      <c r="J29" s="167" t="n">
        <v>18</v>
      </c>
      <c r="K29" s="167" t="inlineStr">
        <is>
          <t>MAQUINAS A</t>
        </is>
      </c>
      <c r="L29" s="167" t="inlineStr">
        <is>
          <t>NA</t>
        </is>
      </c>
      <c r="M29" s="167" t="n">
        <v>2</v>
      </c>
      <c r="N29" s="167" t="inlineStr">
        <is>
          <t>SE REALIZA LIMPIEZA Y CONEXION Y DESCONEXION DE COMPONENTES</t>
        </is>
      </c>
      <c r="O29" s="167" t="n"/>
      <c r="P29" s="166" t="n"/>
      <c r="Q29" s="166" t="n"/>
      <c r="R29" s="166" t="inlineStr">
        <is>
          <t>Contratistas laboratorios de IEE</t>
        </is>
      </c>
      <c r="S29" s="166" t="inlineStr">
        <is>
          <t>N.A</t>
        </is>
      </c>
      <c r="T29" s="166" t="n"/>
      <c r="U29" s="166" t="n"/>
      <c r="V29" s="46" t="n"/>
      <c r="W29" s="166" t="n"/>
      <c r="X29" s="166" t="n"/>
      <c r="Y29" s="31" t="inlineStr">
        <is>
          <t>Finalizada</t>
        </is>
      </c>
      <c r="Z29" s="30" t="n"/>
      <c r="AA29" s="30" t="inlineStr">
        <is>
          <t xml:space="preserve">Tecnico </t>
        </is>
      </c>
    </row>
    <row r="30" ht="45" customHeight="1" s="157">
      <c r="A30" s="22" t="inlineStr">
        <is>
          <t>S-27</t>
        </is>
      </c>
      <c r="B30" s="168" t="inlineStr">
        <is>
          <t>VANESSA CADENA</t>
        </is>
      </c>
      <c r="C30" s="169" t="n">
        <v>1001203428</v>
      </c>
      <c r="D30" s="170" t="inlineStr">
        <is>
          <t>MIP</t>
        </is>
      </c>
      <c r="E30" s="172" t="n">
        <v>46093</v>
      </c>
      <c r="F30" s="174" t="n">
        <v>0.3333333333333333</v>
      </c>
      <c r="G30" s="168" t="inlineStr">
        <is>
          <t>FUENTE DC</t>
        </is>
      </c>
      <c r="H30" s="168" t="inlineStr">
        <is>
          <t>PEAKTECH</t>
        </is>
      </c>
      <c r="I30" s="176" t="n">
        <v>90166932</v>
      </c>
      <c r="J30" s="168" t="n">
        <v>75</v>
      </c>
      <c r="K30" s="168" t="inlineStr">
        <is>
          <t>MAQUINAS A</t>
        </is>
      </c>
      <c r="L30" s="168" t="inlineStr">
        <is>
          <t>NA</t>
        </is>
      </c>
      <c r="M30" s="168" t="n">
        <v>3</v>
      </c>
      <c r="N30" s="168" t="inlineStr">
        <is>
          <t>SE REALIZA LIMPIEZA Y CONEXION Y DESCONEXION DE COMPONENTES</t>
        </is>
      </c>
      <c r="O30" s="168" t="n"/>
      <c r="P30" s="166" t="n"/>
      <c r="Q30" s="166" t="n"/>
      <c r="R30" s="166" t="inlineStr">
        <is>
          <t>Contratistas laboratorios de IEE</t>
        </is>
      </c>
      <c r="S30" s="166" t="inlineStr">
        <is>
          <t>N.A</t>
        </is>
      </c>
      <c r="T30" s="166" t="n"/>
      <c r="U30" s="166" t="n"/>
      <c r="V30" s="46" t="n"/>
      <c r="W30" s="166" t="n"/>
      <c r="X30" s="166" t="n"/>
      <c r="Y30" s="31" t="inlineStr">
        <is>
          <t>Finalizada</t>
        </is>
      </c>
      <c r="Z30" s="30" t="n"/>
      <c r="AA30" s="30" t="inlineStr">
        <is>
          <t xml:space="preserve">Tecnico </t>
        </is>
      </c>
    </row>
    <row r="31" ht="45" customFormat="1" customHeight="1" s="28">
      <c r="A31" s="22" t="inlineStr">
        <is>
          <t>S-28</t>
        </is>
      </c>
      <c r="B31" s="167" t="inlineStr">
        <is>
          <t>VANESSA CADENA</t>
        </is>
      </c>
      <c r="C31" s="169" t="n">
        <v>1001203428</v>
      </c>
      <c r="D31" s="170" t="inlineStr">
        <is>
          <t>MIP</t>
        </is>
      </c>
      <c r="E31" s="171" t="n">
        <v>46094</v>
      </c>
      <c r="F31" s="173" t="n">
        <v>0.6666666666666666</v>
      </c>
      <c r="G31" s="167" t="inlineStr">
        <is>
          <t>FUENTE DC</t>
        </is>
      </c>
      <c r="H31" s="167" t="inlineStr">
        <is>
          <t>PEAKTECH</t>
        </is>
      </c>
      <c r="I31" s="175" t="n">
        <v>410321</v>
      </c>
      <c r="J31" s="167" t="n">
        <v>6</v>
      </c>
      <c r="K31" s="167" t="inlineStr">
        <is>
          <t>MAQUINAS A</t>
        </is>
      </c>
      <c r="L31" s="167" t="inlineStr">
        <is>
          <t>NA</t>
        </is>
      </c>
      <c r="M31" s="167" t="n">
        <v>8</v>
      </c>
      <c r="N31" s="167" t="inlineStr">
        <is>
          <t>SE REALIZA LIMPIEZA Y CONEXION Y DESCONEXION DE COMPONENTES</t>
        </is>
      </c>
      <c r="O31" s="167" t="n"/>
      <c r="P31" s="166" t="n"/>
      <c r="Q31" s="166" t="n"/>
      <c r="R31" s="166" t="inlineStr">
        <is>
          <t>Contratistas laboratorios de IEE</t>
        </is>
      </c>
      <c r="S31" s="166" t="inlineStr">
        <is>
          <t>N.A</t>
        </is>
      </c>
      <c r="T31" s="166" t="n"/>
      <c r="U31" s="166" t="n"/>
      <c r="V31" s="46" t="n"/>
      <c r="W31" s="166" t="n"/>
      <c r="X31" s="166" t="n"/>
      <c r="Y31" s="31" t="inlineStr">
        <is>
          <t>Finalizada</t>
        </is>
      </c>
      <c r="Z31" s="30" t="n"/>
      <c r="AA31" s="30" t="inlineStr">
        <is>
          <t xml:space="preserve">Tecnico </t>
        </is>
      </c>
    </row>
    <row r="32" ht="45" customFormat="1" customHeight="1" s="28">
      <c r="A32" s="22" t="inlineStr">
        <is>
          <t>S-29</t>
        </is>
      </c>
      <c r="B32" s="168" t="inlineStr">
        <is>
          <t>VANESSA CADENA</t>
        </is>
      </c>
      <c r="C32" s="169" t="n">
        <v>1001203429</v>
      </c>
      <c r="D32" s="170" t="inlineStr">
        <is>
          <t>MIP</t>
        </is>
      </c>
      <c r="E32" s="172" t="n">
        <v>46097</v>
      </c>
      <c r="F32" s="174" t="n">
        <v>0.4166666666666667</v>
      </c>
      <c r="G32" s="168" t="inlineStr">
        <is>
          <t>FUENTE DC</t>
        </is>
      </c>
      <c r="H32" s="168" t="inlineStr">
        <is>
          <t>PEAKTECH</t>
        </is>
      </c>
      <c r="I32" s="176" t="n">
        <v>20250926007</v>
      </c>
      <c r="J32" s="168" t="n">
        <v>20</v>
      </c>
      <c r="K32" s="168" t="inlineStr">
        <is>
          <t>MAQUINAS A</t>
        </is>
      </c>
      <c r="L32" s="168" t="inlineStr">
        <is>
          <t>NA</t>
        </is>
      </c>
      <c r="M32" s="168" t="n">
        <v>5</v>
      </c>
      <c r="N32" s="168" t="inlineStr">
        <is>
          <t>SE REALIZA LIMPIEZA Y CONEXION Y DESCONEXION DE COMPONENTES</t>
        </is>
      </c>
      <c r="O32" s="168" t="n"/>
      <c r="P32" s="166" t="n"/>
      <c r="Q32" s="166" t="n"/>
      <c r="R32" s="166" t="inlineStr">
        <is>
          <t>Contratistas laboratorios de IEE</t>
        </is>
      </c>
      <c r="S32" s="166" t="inlineStr">
        <is>
          <t>N.A</t>
        </is>
      </c>
      <c r="T32" s="166" t="n"/>
      <c r="U32" s="166" t="n"/>
      <c r="V32" s="46" t="n"/>
      <c r="W32" s="166" t="n"/>
      <c r="X32" s="166" t="n"/>
      <c r="Y32" s="31" t="inlineStr">
        <is>
          <t>Finalizada</t>
        </is>
      </c>
      <c r="Z32" s="30" t="n"/>
      <c r="AA32" s="30" t="inlineStr">
        <is>
          <t xml:space="preserve">Tecnico </t>
        </is>
      </c>
    </row>
    <row r="33" ht="45" customFormat="1" customHeight="1" s="28">
      <c r="A33" s="22" t="inlineStr">
        <is>
          <t>S-30</t>
        </is>
      </c>
      <c r="B33" s="167" t="inlineStr">
        <is>
          <t>VANESSA CADENA</t>
        </is>
      </c>
      <c r="C33" s="169" t="n">
        <v>1001203430</v>
      </c>
      <c r="D33" s="170" t="inlineStr">
        <is>
          <t>MIP</t>
        </is>
      </c>
      <c r="E33" s="171" t="n">
        <v>46098</v>
      </c>
      <c r="F33" s="173" t="n">
        <v>0.3333333333333333</v>
      </c>
      <c r="G33" s="167" t="inlineStr">
        <is>
          <t>FUENTE DC</t>
        </is>
      </c>
      <c r="H33" s="167" t="inlineStr">
        <is>
          <t>PEAKTECH</t>
        </is>
      </c>
      <c r="I33" s="175" t="n">
        <v>410314</v>
      </c>
      <c r="J33" s="167" t="n">
        <v>89</v>
      </c>
      <c r="K33" s="167" t="inlineStr">
        <is>
          <t>MAQUINAS A</t>
        </is>
      </c>
      <c r="L33" s="167" t="inlineStr">
        <is>
          <t>NA</t>
        </is>
      </c>
      <c r="M33" s="167" t="n">
        <v>6</v>
      </c>
      <c r="N33" s="167" t="inlineStr">
        <is>
          <t>SE REALIZA LIMPIEZA Y CONEXION Y DESCONEXION DE COMPONENTES</t>
        </is>
      </c>
      <c r="O33" s="167" t="n"/>
      <c r="P33" s="166" t="n"/>
      <c r="Q33" s="166" t="n"/>
      <c r="R33" s="166" t="inlineStr">
        <is>
          <t>Contratistas laboratorios de IEE</t>
        </is>
      </c>
      <c r="S33" s="166" t="inlineStr">
        <is>
          <t>N.A</t>
        </is>
      </c>
      <c r="T33" s="166" t="n"/>
      <c r="U33" s="166" t="n"/>
      <c r="V33" s="46" t="n"/>
      <c r="W33" s="166" t="n"/>
      <c r="X33" s="166" t="n"/>
      <c r="Y33" s="31" t="inlineStr">
        <is>
          <t>Finalizada</t>
        </is>
      </c>
      <c r="Z33" s="30" t="n"/>
      <c r="AA33" s="30" t="inlineStr">
        <is>
          <t xml:space="preserve">Tecnico </t>
        </is>
      </c>
    </row>
    <row r="34" ht="45" customFormat="1" customHeight="1" s="28">
      <c r="A34" s="22" t="inlineStr">
        <is>
          <t>S-31</t>
        </is>
      </c>
      <c r="B34" s="168" t="inlineStr">
        <is>
          <t>VANESSA CADENA</t>
        </is>
      </c>
      <c r="C34" s="169" t="n">
        <v>1001203431</v>
      </c>
      <c r="D34" s="170" t="inlineStr">
        <is>
          <t>MIP</t>
        </is>
      </c>
      <c r="E34" s="172" t="n">
        <v>46099</v>
      </c>
      <c r="F34" s="174" t="n">
        <v>0.5</v>
      </c>
      <c r="G34" s="168" t="inlineStr">
        <is>
          <t>FUENTE DC</t>
        </is>
      </c>
      <c r="H34" s="168" t="inlineStr">
        <is>
          <t>PEAKTECH</t>
        </is>
      </c>
      <c r="I34" s="51" t="n">
        <v>410322</v>
      </c>
      <c r="J34" s="168" t="n"/>
      <c r="K34" s="168" t="inlineStr">
        <is>
          <t>MAQUINAS A</t>
        </is>
      </c>
      <c r="L34" s="168" t="inlineStr">
        <is>
          <t>NA</t>
        </is>
      </c>
      <c r="M34" s="168" t="n">
        <v>7</v>
      </c>
      <c r="N34" s="168" t="inlineStr">
        <is>
          <t>SE REALIZA LIMPIEZA Y CONEXION Y DESCONEXION DE COMPONENTES</t>
        </is>
      </c>
      <c r="O34" s="168" t="n"/>
      <c r="P34" s="166" t="n"/>
      <c r="Q34" s="166" t="n"/>
      <c r="R34" s="166" t="inlineStr">
        <is>
          <t>Contratistas laboratorios de IEE</t>
        </is>
      </c>
      <c r="S34" s="166" t="inlineStr">
        <is>
          <t>N.A</t>
        </is>
      </c>
      <c r="T34" s="166" t="n"/>
      <c r="U34" s="166" t="n"/>
      <c r="V34" s="46" t="n"/>
      <c r="W34" s="166" t="n"/>
      <c r="X34" s="166" t="n"/>
      <c r="Y34" s="31" t="inlineStr">
        <is>
          <t>Finalizada</t>
        </is>
      </c>
      <c r="Z34" s="30" t="n"/>
      <c r="AA34" s="30" t="inlineStr">
        <is>
          <t xml:space="preserve">Tecnico </t>
        </is>
      </c>
    </row>
    <row r="35" ht="45" customFormat="1" customHeight="1" s="28">
      <c r="A35" s="22" t="inlineStr">
        <is>
          <t>S-32</t>
        </is>
      </c>
      <c r="B35" s="167" t="inlineStr">
        <is>
          <t>VANESSA CADENA</t>
        </is>
      </c>
      <c r="C35" s="169" t="n">
        <v>1001203432</v>
      </c>
      <c r="D35" s="170" t="inlineStr">
        <is>
          <t>MIP</t>
        </is>
      </c>
      <c r="E35" s="171" t="n">
        <v>46100</v>
      </c>
      <c r="F35" s="173" t="n">
        <v>0.3333333333333333</v>
      </c>
      <c r="G35" s="167" t="inlineStr">
        <is>
          <t>FUENTE DC</t>
        </is>
      </c>
      <c r="H35" s="167" t="inlineStr">
        <is>
          <t>PEAKTECH</t>
        </is>
      </c>
      <c r="I35" s="175" t="n">
        <v>90166411</v>
      </c>
      <c r="J35" s="167" t="n">
        <v>2</v>
      </c>
      <c r="K35" s="167" t="inlineStr">
        <is>
          <t>MAQUINAS B</t>
        </is>
      </c>
      <c r="L35" s="167" t="inlineStr">
        <is>
          <t>NA</t>
        </is>
      </c>
      <c r="M35" s="167" t="n">
        <v>1</v>
      </c>
      <c r="N35" s="167" t="inlineStr">
        <is>
          <t>SE REALIZA LIMPIEZA Y CONEXION Y DESCONEXION DE COMPONENTES</t>
        </is>
      </c>
      <c r="O35" s="167" t="n"/>
      <c r="P35" s="166" t="n"/>
      <c r="Q35" s="166" t="n"/>
      <c r="R35" s="166" t="inlineStr">
        <is>
          <t>Contratistas laboratorios de IEE</t>
        </is>
      </c>
      <c r="S35" s="166" t="inlineStr">
        <is>
          <t>N.A</t>
        </is>
      </c>
      <c r="T35" s="166" t="n"/>
      <c r="U35" s="166" t="n"/>
      <c r="V35" s="46" t="n"/>
      <c r="W35" s="166" t="n"/>
      <c r="X35" s="166" t="n"/>
      <c r="Y35" s="31" t="inlineStr">
        <is>
          <t>Finalizada</t>
        </is>
      </c>
      <c r="Z35" s="30" t="n"/>
      <c r="AA35" s="30" t="inlineStr">
        <is>
          <t xml:space="preserve">Tecnico </t>
        </is>
      </c>
    </row>
    <row r="36" ht="45" customFormat="1" customHeight="1" s="28">
      <c r="A36" s="22" t="inlineStr">
        <is>
          <t>S-33</t>
        </is>
      </c>
      <c r="B36" s="168" t="inlineStr">
        <is>
          <t>VANESSA CADENA</t>
        </is>
      </c>
      <c r="C36" s="169" t="n">
        <v>1001203433</v>
      </c>
      <c r="D36" s="170" t="inlineStr">
        <is>
          <t>MIP</t>
        </is>
      </c>
      <c r="E36" s="172" t="n">
        <v>46101</v>
      </c>
      <c r="F36" s="174" t="n">
        <v>0.6666666666666666</v>
      </c>
      <c r="G36" s="168" t="inlineStr">
        <is>
          <t>FUENTE DC</t>
        </is>
      </c>
      <c r="H36" s="168" t="inlineStr">
        <is>
          <t>PEAKTECH</t>
        </is>
      </c>
      <c r="I36" s="176" t="n">
        <v>90166986</v>
      </c>
      <c r="J36" s="168" t="n">
        <v>77</v>
      </c>
      <c r="K36" s="168" t="inlineStr">
        <is>
          <t>MAQUINAS B</t>
        </is>
      </c>
      <c r="L36" s="168" t="inlineStr">
        <is>
          <t>NA</t>
        </is>
      </c>
      <c r="M36" s="168" t="n">
        <v>2</v>
      </c>
      <c r="N36" s="168" t="inlineStr">
        <is>
          <t>SE REALIZA LIMPIEZA Y CONEXION Y DESCONEXION DE COMPONENTES</t>
        </is>
      </c>
      <c r="O36" s="168" t="n"/>
      <c r="P36" s="166" t="n"/>
      <c r="Q36" s="166" t="n"/>
      <c r="R36" s="166" t="inlineStr">
        <is>
          <t>Contratistas laboratorios de IEE</t>
        </is>
      </c>
      <c r="S36" s="166" t="inlineStr">
        <is>
          <t>N.A</t>
        </is>
      </c>
      <c r="T36" s="166" t="n"/>
      <c r="U36" s="166" t="n"/>
      <c r="V36" s="46" t="n"/>
      <c r="W36" s="166" t="n"/>
      <c r="X36" s="166" t="n"/>
      <c r="Y36" s="31" t="inlineStr">
        <is>
          <t>Finalizada</t>
        </is>
      </c>
      <c r="Z36" s="30" t="n"/>
      <c r="AA36" s="30" t="inlineStr">
        <is>
          <t xml:space="preserve">Tecnico </t>
        </is>
      </c>
    </row>
    <row r="37" ht="45" customFormat="1" customHeight="1" s="28">
      <c r="A37" s="22" t="inlineStr">
        <is>
          <t>S-34</t>
        </is>
      </c>
      <c r="B37" s="168" t="inlineStr">
        <is>
          <t>VANESSA CADENA</t>
        </is>
      </c>
      <c r="C37" s="169" t="n">
        <v>1001203435</v>
      </c>
      <c r="D37" s="170" t="inlineStr">
        <is>
          <t>MIP</t>
        </is>
      </c>
      <c r="E37" s="172" t="n">
        <v>46105</v>
      </c>
      <c r="F37" s="174" t="n">
        <v>0.3333333333333333</v>
      </c>
      <c r="G37" s="168" t="inlineStr">
        <is>
          <t>FUENTE DC</t>
        </is>
      </c>
      <c r="H37" s="168" t="inlineStr">
        <is>
          <t>PEAKTECH</t>
        </is>
      </c>
      <c r="I37" s="176" t="n">
        <v>90166426</v>
      </c>
      <c r="J37" s="168" t="n">
        <v>72</v>
      </c>
      <c r="K37" s="168" t="inlineStr">
        <is>
          <t>MAQUINAS B</t>
        </is>
      </c>
      <c r="L37" s="168" t="inlineStr">
        <is>
          <t>NA</t>
        </is>
      </c>
      <c r="M37" s="168" t="n">
        <v>4</v>
      </c>
      <c r="N37" s="168" t="inlineStr">
        <is>
          <t>SE REALIZA LIMPIEZA Y CONEXION Y DESCONEXION DE COMPONENTES</t>
        </is>
      </c>
      <c r="O37" s="168" t="n"/>
      <c r="P37" s="166" t="n"/>
      <c r="Q37" s="166" t="n"/>
      <c r="R37" s="166" t="inlineStr">
        <is>
          <t>Contratistas laboratorios de IEE</t>
        </is>
      </c>
      <c r="S37" s="166" t="inlineStr">
        <is>
          <t>N.A</t>
        </is>
      </c>
      <c r="T37" s="166" t="n"/>
      <c r="U37" s="166" t="n"/>
      <c r="V37" s="46" t="n"/>
      <c r="W37" s="166" t="n"/>
      <c r="X37" s="166" t="n"/>
      <c r="Y37" s="31" t="inlineStr">
        <is>
          <t>Finalizada</t>
        </is>
      </c>
      <c r="Z37" s="30" t="n"/>
      <c r="AA37" s="30" t="inlineStr">
        <is>
          <t xml:space="preserve">Tecnico </t>
        </is>
      </c>
    </row>
    <row r="38" ht="45" customHeight="1" s="157">
      <c r="A38" s="22" t="inlineStr">
        <is>
          <t>S-35</t>
        </is>
      </c>
      <c r="B38" s="167" t="inlineStr">
        <is>
          <t>VANESSA CADENA</t>
        </is>
      </c>
      <c r="C38" s="169" t="n">
        <v>1001203436</v>
      </c>
      <c r="D38" s="170" t="inlineStr">
        <is>
          <t>MIP</t>
        </is>
      </c>
      <c r="E38" s="171" t="n">
        <v>46106</v>
      </c>
      <c r="F38" s="173" t="n">
        <v>0.5</v>
      </c>
      <c r="G38" s="167" t="inlineStr">
        <is>
          <t>FUENTE DC</t>
        </is>
      </c>
      <c r="H38" s="167" t="inlineStr">
        <is>
          <t>PEAKTECH</t>
        </is>
      </c>
      <c r="I38" s="175" t="n">
        <v>90166399</v>
      </c>
      <c r="J38" s="167" t="n">
        <v>73</v>
      </c>
      <c r="K38" s="167" t="inlineStr">
        <is>
          <t>MAQUINAS B</t>
        </is>
      </c>
      <c r="L38" s="167" t="inlineStr">
        <is>
          <t>NA</t>
        </is>
      </c>
      <c r="M38" s="167" t="n">
        <v>5</v>
      </c>
      <c r="N38" s="167" t="inlineStr">
        <is>
          <t>SE REALIZA LIMPIEZA Y CONEXION Y DESCONEXION DE COMPONENTES</t>
        </is>
      </c>
      <c r="O38" s="167" t="n"/>
      <c r="P38" s="166" t="n"/>
      <c r="Q38" s="166" t="n"/>
      <c r="R38" s="166" t="inlineStr">
        <is>
          <t>Contratistas laboratorios de IEE</t>
        </is>
      </c>
      <c r="S38" s="166" t="inlineStr">
        <is>
          <t>N.A</t>
        </is>
      </c>
      <c r="T38" s="166" t="n"/>
      <c r="U38" s="166" t="n"/>
      <c r="V38" s="46" t="n"/>
      <c r="W38" s="166" t="n"/>
      <c r="X38" s="166" t="n"/>
      <c r="Y38" s="31" t="inlineStr">
        <is>
          <t>Finalizada</t>
        </is>
      </c>
      <c r="Z38" s="30" t="n"/>
      <c r="AA38" s="30" t="inlineStr">
        <is>
          <t xml:space="preserve">Tecnico </t>
        </is>
      </c>
    </row>
    <row r="39" ht="45" customHeight="1" s="157">
      <c r="A39" s="22" t="inlineStr">
        <is>
          <t>S-36</t>
        </is>
      </c>
      <c r="B39" s="168" t="inlineStr">
        <is>
          <t>VANESSA CADENA</t>
        </is>
      </c>
      <c r="C39" s="169" t="n">
        <v>1001203437</v>
      </c>
      <c r="D39" s="170" t="inlineStr">
        <is>
          <t>MIP</t>
        </is>
      </c>
      <c r="E39" s="172" t="n">
        <v>46107</v>
      </c>
      <c r="F39" s="174" t="n">
        <v>0.3333333333333333</v>
      </c>
      <c r="G39" s="168" t="inlineStr">
        <is>
          <t>FUENTE DC</t>
        </is>
      </c>
      <c r="H39" s="168" t="inlineStr">
        <is>
          <t>PEAKTECH</t>
        </is>
      </c>
      <c r="I39" s="176" t="n">
        <v>90166398</v>
      </c>
      <c r="J39" s="168" t="n">
        <v>3</v>
      </c>
      <c r="K39" s="168" t="inlineStr">
        <is>
          <t>MAQUINAS B</t>
        </is>
      </c>
      <c r="L39" s="168" t="inlineStr">
        <is>
          <t>NA</t>
        </is>
      </c>
      <c r="M39" s="168" t="n">
        <v>6</v>
      </c>
      <c r="N39" s="168" t="inlineStr">
        <is>
          <t>SE REALIZA LIMPIEZA Y CONEXION Y DESCONEXION DE COMPONENTES</t>
        </is>
      </c>
      <c r="O39" s="168" t="n"/>
      <c r="P39" s="166" t="n"/>
      <c r="Q39" s="166" t="n"/>
      <c r="R39" s="166" t="inlineStr">
        <is>
          <t>Contratistas laboratorios de IEE</t>
        </is>
      </c>
      <c r="S39" s="166" t="inlineStr">
        <is>
          <t>N.A</t>
        </is>
      </c>
      <c r="T39" s="166" t="n"/>
      <c r="U39" s="166" t="n"/>
      <c r="V39" s="46" t="n"/>
      <c r="W39" s="166" t="n"/>
      <c r="X39" s="166" t="n"/>
      <c r="Y39" s="31" t="inlineStr">
        <is>
          <t>Finalizada</t>
        </is>
      </c>
      <c r="Z39" s="30" t="n"/>
      <c r="AA39" s="30" t="inlineStr">
        <is>
          <t xml:space="preserve">Tecnico </t>
        </is>
      </c>
    </row>
    <row r="40" ht="45" customHeight="1" s="157">
      <c r="A40" s="22" t="inlineStr">
        <is>
          <t>S-37</t>
        </is>
      </c>
      <c r="B40" s="167" t="inlineStr">
        <is>
          <t>VANESSA CADENA</t>
        </is>
      </c>
      <c r="C40" s="169" t="n">
        <v>1001203438</v>
      </c>
      <c r="D40" s="170" t="inlineStr">
        <is>
          <t>MIP</t>
        </is>
      </c>
      <c r="E40" s="171" t="n">
        <v>46108</v>
      </c>
      <c r="F40" s="173" t="n">
        <v>0.6666666666666666</v>
      </c>
      <c r="G40" s="167" t="inlineStr">
        <is>
          <t>FUENTE DC</t>
        </is>
      </c>
      <c r="H40" s="167" t="inlineStr">
        <is>
          <t>PEAKTECH</t>
        </is>
      </c>
      <c r="I40" s="175" t="n">
        <v>90166948</v>
      </c>
      <c r="J40" s="167" t="n">
        <v>28</v>
      </c>
      <c r="K40" s="167" t="inlineStr">
        <is>
          <t>MAQUINAS B</t>
        </is>
      </c>
      <c r="L40" s="167" t="inlineStr">
        <is>
          <t>NA</t>
        </is>
      </c>
      <c r="M40" s="167" t="n">
        <v>7</v>
      </c>
      <c r="N40" s="167" t="inlineStr">
        <is>
          <t>SE REALIZA LIMPIEZA Y CONEXION Y DESCONEXION DE COMPONENTES</t>
        </is>
      </c>
      <c r="O40" s="167" t="n"/>
      <c r="P40" s="166" t="n"/>
      <c r="Q40" s="166" t="n"/>
      <c r="R40" s="166" t="inlineStr">
        <is>
          <t>Contratistas laboratorios de IEE</t>
        </is>
      </c>
      <c r="S40" s="166" t="inlineStr">
        <is>
          <t>N.A</t>
        </is>
      </c>
      <c r="T40" s="166" t="n"/>
      <c r="U40" s="166" t="n"/>
      <c r="V40" s="46" t="n"/>
      <c r="W40" s="166" t="n"/>
      <c r="X40" s="166" t="n"/>
      <c r="Y40" s="31" t="inlineStr">
        <is>
          <t>Finalizada</t>
        </is>
      </c>
      <c r="Z40" s="30" t="n"/>
      <c r="AA40" s="30" t="inlineStr">
        <is>
          <t xml:space="preserve">Tecnico </t>
        </is>
      </c>
    </row>
    <row r="41" ht="45" customFormat="1" customHeight="1" s="28">
      <c r="A41" s="22" t="inlineStr">
        <is>
          <t>S-38</t>
        </is>
      </c>
      <c r="B41" s="168" t="inlineStr">
        <is>
          <t>VANESSA CADENA</t>
        </is>
      </c>
      <c r="C41" s="169" t="n">
        <v>1001203439</v>
      </c>
      <c r="D41" s="170" t="inlineStr">
        <is>
          <t>MIP</t>
        </is>
      </c>
      <c r="E41" s="172" t="n">
        <v>46111</v>
      </c>
      <c r="F41" s="174" t="n">
        <v>0.375</v>
      </c>
      <c r="G41" s="168" t="inlineStr">
        <is>
          <t>FUENTE DC</t>
        </is>
      </c>
      <c r="H41" s="168" t="inlineStr">
        <is>
          <t>PEAKTECH</t>
        </is>
      </c>
      <c r="I41" s="176" t="n">
        <v>410329</v>
      </c>
      <c r="J41" s="168" t="n">
        <v>82</v>
      </c>
      <c r="K41" s="168" t="inlineStr">
        <is>
          <t>MAQUINAS B</t>
        </is>
      </c>
      <c r="L41" s="168" t="inlineStr">
        <is>
          <t>NA</t>
        </is>
      </c>
      <c r="M41" s="168" t="n">
        <v>8</v>
      </c>
      <c r="N41" s="168" t="inlineStr">
        <is>
          <t>SE REALIZA LIMPIEZA Y CONEXION Y DESCONEXION DE COMPONENTES</t>
        </is>
      </c>
      <c r="O41" s="168" t="n"/>
      <c r="P41" s="166" t="n"/>
      <c r="Q41" s="166" t="n"/>
      <c r="R41" s="166" t="inlineStr">
        <is>
          <t>Contratistas laboratorios de IEE</t>
        </is>
      </c>
      <c r="S41" s="166" t="inlineStr">
        <is>
          <t>N.A</t>
        </is>
      </c>
      <c r="T41" s="166" t="n"/>
      <c r="U41" s="166" t="n"/>
      <c r="V41" s="46" t="n"/>
      <c r="W41" s="166" t="n"/>
      <c r="X41" s="166" t="n"/>
      <c r="Y41" s="31" t="inlineStr">
        <is>
          <t>Finalizada</t>
        </is>
      </c>
      <c r="Z41" s="30" t="n"/>
      <c r="AA41" s="30" t="inlineStr">
        <is>
          <t xml:space="preserve">Tecnico </t>
        </is>
      </c>
    </row>
    <row r="42" ht="45" customHeight="1" s="157">
      <c r="A42" s="22" t="inlineStr">
        <is>
          <t>S-39</t>
        </is>
      </c>
      <c r="B42" s="167" t="inlineStr">
        <is>
          <t>VANESSA CADENA</t>
        </is>
      </c>
      <c r="C42" s="169" t="n">
        <v>1001203432</v>
      </c>
      <c r="D42" s="170" t="inlineStr">
        <is>
          <t>MIP</t>
        </is>
      </c>
      <c r="E42" s="167" t="n"/>
      <c r="F42" s="167" t="n"/>
      <c r="G42" s="167" t="inlineStr">
        <is>
          <t>OSCILOSCOPIO</t>
        </is>
      </c>
      <c r="H42" s="167" t="inlineStr">
        <is>
          <t>RIGOL</t>
        </is>
      </c>
      <c r="I42" s="175" t="inlineStr">
        <is>
          <t>DS1EA111700415</t>
        </is>
      </c>
      <c r="J42" s="167" t="n">
        <v>61</v>
      </c>
      <c r="K42" s="167" t="inlineStr">
        <is>
          <t>MAQUINAS A</t>
        </is>
      </c>
      <c r="L42" s="167" t="inlineStr">
        <is>
          <t>NA</t>
        </is>
      </c>
      <c r="M42" s="167" t="n">
        <v>1</v>
      </c>
      <c r="N42" s="167" t="inlineStr">
        <is>
          <t>SE REALIZA LIMPIEZA Y CONEXION Y DESCONEXION DE COMPONENTES</t>
        </is>
      </c>
      <c r="O42" s="167" t="n"/>
      <c r="P42" s="166" t="n"/>
      <c r="Q42" s="166" t="n"/>
      <c r="R42" s="166" t="inlineStr">
        <is>
          <t>Contratistas laboratorios de IEE</t>
        </is>
      </c>
      <c r="S42" s="166" t="inlineStr">
        <is>
          <t>N.A</t>
        </is>
      </c>
      <c r="T42" s="166" t="n"/>
      <c r="U42" s="166" t="n"/>
      <c r="V42" s="46" t="n"/>
      <c r="W42" s="166" t="n"/>
      <c r="X42" s="166" t="n"/>
      <c r="Y42" s="31" t="inlineStr">
        <is>
          <t>Finalizada</t>
        </is>
      </c>
      <c r="Z42" s="30" t="n"/>
      <c r="AA42" s="30" t="inlineStr">
        <is>
          <t xml:space="preserve">Tecnico </t>
        </is>
      </c>
    </row>
    <row r="43" ht="45" customHeight="1" s="157">
      <c r="A43" s="22" t="inlineStr">
        <is>
          <t>S-40</t>
        </is>
      </c>
      <c r="B43" s="168" t="inlineStr">
        <is>
          <t>VANESSA CADENA</t>
        </is>
      </c>
      <c r="C43" s="169" t="n">
        <v>1001203433</v>
      </c>
      <c r="D43" s="170" t="inlineStr">
        <is>
          <t>MIP</t>
        </is>
      </c>
      <c r="E43" s="168" t="n"/>
      <c r="F43" s="168" t="n"/>
      <c r="G43" s="168" t="inlineStr">
        <is>
          <t>OSCILOSCOPIO</t>
        </is>
      </c>
      <c r="H43" s="168" t="inlineStr">
        <is>
          <t>RIGOL</t>
        </is>
      </c>
      <c r="I43" s="176" t="inlineStr">
        <is>
          <t>DS1EA112800535</t>
        </is>
      </c>
      <c r="J43" s="168" t="n"/>
      <c r="K43" s="168" t="inlineStr">
        <is>
          <t>MAQUINAS A</t>
        </is>
      </c>
      <c r="L43" s="168" t="inlineStr">
        <is>
          <t>NA</t>
        </is>
      </c>
      <c r="M43" s="168" t="n">
        <v>2</v>
      </c>
      <c r="N43" s="168" t="inlineStr">
        <is>
          <t>SE REALIZA LIMPIEZA Y CONEXION Y DESCONEXION DE COMPONENTES</t>
        </is>
      </c>
      <c r="O43" s="168" t="n"/>
      <c r="P43" s="166" t="n"/>
      <c r="Q43" s="166" t="n"/>
      <c r="R43" s="166" t="inlineStr">
        <is>
          <t>Contratistas laboratorios de IEE</t>
        </is>
      </c>
      <c r="S43" s="166" t="inlineStr">
        <is>
          <t>N.A</t>
        </is>
      </c>
      <c r="T43" s="166" t="n"/>
      <c r="U43" s="166" t="n"/>
      <c r="V43" s="46" t="n"/>
      <c r="W43" s="166" t="n"/>
      <c r="X43" s="166" t="n"/>
      <c r="Y43" s="31" t="inlineStr">
        <is>
          <t>Finalizada</t>
        </is>
      </c>
      <c r="Z43" s="30" t="n"/>
      <c r="AA43" s="30" t="inlineStr">
        <is>
          <t xml:space="preserve">Tecnico </t>
        </is>
      </c>
    </row>
    <row r="44" ht="45" customHeight="1" s="157">
      <c r="A44" s="22" t="inlineStr">
        <is>
          <t>S-41</t>
        </is>
      </c>
      <c r="B44" s="167" t="inlineStr">
        <is>
          <t>VANESSA CADENA</t>
        </is>
      </c>
      <c r="C44" s="169" t="n">
        <v>1001203434</v>
      </c>
      <c r="D44" s="170" t="inlineStr">
        <is>
          <t>MIP</t>
        </is>
      </c>
      <c r="E44" s="167" t="n"/>
      <c r="F44" s="167" t="n"/>
      <c r="G44" s="167" t="inlineStr">
        <is>
          <t>OSCILOSCOPIO</t>
        </is>
      </c>
      <c r="H44" s="167" t="inlineStr">
        <is>
          <t>RIGOL</t>
        </is>
      </c>
      <c r="I44" s="175" t="inlineStr">
        <is>
          <t>DS1EA112400452</t>
        </is>
      </c>
      <c r="J44" s="167" t="n">
        <v>66</v>
      </c>
      <c r="K44" s="167" t="inlineStr">
        <is>
          <t>MAQUINAS A</t>
        </is>
      </c>
      <c r="L44" s="167" t="inlineStr">
        <is>
          <t>NA</t>
        </is>
      </c>
      <c r="M44" s="167" t="n">
        <v>3</v>
      </c>
      <c r="N44" s="167" t="inlineStr">
        <is>
          <t>SE REALIZA LIMPIEZA Y CONEXION Y DESCONEXION DE COMPONENTES</t>
        </is>
      </c>
      <c r="O44" s="167" t="n"/>
      <c r="P44" s="166" t="n"/>
      <c r="Q44" s="166" t="n"/>
      <c r="R44" s="166" t="inlineStr">
        <is>
          <t>Contratistas laboratorios de IEE</t>
        </is>
      </c>
      <c r="S44" s="166" t="inlineStr">
        <is>
          <t>N.A</t>
        </is>
      </c>
      <c r="T44" s="166" t="n"/>
      <c r="U44" s="166" t="n"/>
      <c r="V44" s="46" t="n"/>
      <c r="W44" s="166" t="n"/>
      <c r="X44" s="166" t="n"/>
      <c r="Y44" s="31" t="inlineStr">
        <is>
          <t>Finalizada</t>
        </is>
      </c>
      <c r="Z44" s="30" t="n"/>
      <c r="AA44" s="30" t="inlineStr">
        <is>
          <t xml:space="preserve">Tecnico </t>
        </is>
      </c>
    </row>
    <row r="45" ht="45" customHeight="1" s="157">
      <c r="A45" s="22" t="inlineStr">
        <is>
          <t>S-42</t>
        </is>
      </c>
      <c r="B45" s="168" t="inlineStr">
        <is>
          <t>VANESSA CADENA</t>
        </is>
      </c>
      <c r="C45" s="169" t="n">
        <v>1001203435</v>
      </c>
      <c r="D45" s="170" t="inlineStr">
        <is>
          <t>MIP</t>
        </is>
      </c>
      <c r="E45" s="168" t="n"/>
      <c r="F45" s="168" t="n"/>
      <c r="G45" s="168" t="inlineStr">
        <is>
          <t>OSCILOSCOPIO</t>
        </is>
      </c>
      <c r="H45" s="168" t="inlineStr">
        <is>
          <t>RIGOL</t>
        </is>
      </c>
      <c r="I45" s="176" t="inlineStr">
        <is>
          <t>DS1EA112800522</t>
        </is>
      </c>
      <c r="J45" s="168" t="n">
        <v>65</v>
      </c>
      <c r="K45" s="168" t="inlineStr">
        <is>
          <t>MAQUINAS A</t>
        </is>
      </c>
      <c r="L45" s="168" t="inlineStr">
        <is>
          <t>NA</t>
        </is>
      </c>
      <c r="M45" s="168" t="n">
        <v>4</v>
      </c>
      <c r="N45" s="168" t="inlineStr">
        <is>
          <t>SE REALIZA LIMPIEZA Y CONEXION Y DESCONEXION DE COMPONENTES</t>
        </is>
      </c>
      <c r="O45" s="168" t="n"/>
      <c r="P45" s="166" t="n"/>
      <c r="Q45" s="166" t="n"/>
      <c r="R45" s="166" t="inlineStr">
        <is>
          <t>Contratistas laboratorios de IEE</t>
        </is>
      </c>
      <c r="S45" s="166" t="inlineStr">
        <is>
          <t>N.A</t>
        </is>
      </c>
      <c r="T45" s="166" t="n"/>
      <c r="U45" s="166" t="n"/>
      <c r="V45" s="46" t="n"/>
      <c r="W45" s="166" t="n"/>
      <c r="X45" s="166" t="n"/>
      <c r="Y45" s="31" t="inlineStr">
        <is>
          <t>Finalizada</t>
        </is>
      </c>
      <c r="Z45" s="30" t="n"/>
      <c r="AA45" s="30" t="inlineStr">
        <is>
          <t xml:space="preserve">Tecnico </t>
        </is>
      </c>
    </row>
    <row r="46" ht="45" customHeight="1" s="157">
      <c r="A46" s="22" t="inlineStr">
        <is>
          <t>S-43</t>
        </is>
      </c>
      <c r="B46" s="167" t="inlineStr">
        <is>
          <t>VANESSA CADENA</t>
        </is>
      </c>
      <c r="C46" s="169" t="n">
        <v>1001203436</v>
      </c>
      <c r="D46" s="170" t="inlineStr">
        <is>
          <t>MIP</t>
        </is>
      </c>
      <c r="E46" s="167" t="n"/>
      <c r="F46" s="167" t="n"/>
      <c r="G46" s="167" t="inlineStr">
        <is>
          <t>OSCILOSCOPIO</t>
        </is>
      </c>
      <c r="H46" s="167" t="inlineStr">
        <is>
          <t>RIGOL</t>
        </is>
      </c>
      <c r="I46" s="175" t="inlineStr">
        <is>
          <t>DS1EA112800532</t>
        </is>
      </c>
      <c r="J46" s="167" t="n">
        <v>62</v>
      </c>
      <c r="K46" s="167" t="inlineStr">
        <is>
          <t>MAQUINAS A</t>
        </is>
      </c>
      <c r="L46" s="167" t="inlineStr">
        <is>
          <t>NA</t>
        </is>
      </c>
      <c r="M46" s="167" t="n">
        <v>5</v>
      </c>
      <c r="N46" s="167" t="inlineStr">
        <is>
          <t>SE REALIZA LIMPIEZA Y CONEXION Y DESCONEXION DE COMPONENTES</t>
        </is>
      </c>
      <c r="O46" s="167" t="n"/>
      <c r="P46" s="166" t="n"/>
      <c r="Q46" s="166" t="n"/>
      <c r="R46" s="166" t="inlineStr">
        <is>
          <t>Contratistas laboratorios de IEE</t>
        </is>
      </c>
      <c r="S46" s="166" t="inlineStr">
        <is>
          <t>N.A</t>
        </is>
      </c>
      <c r="T46" s="166" t="n"/>
      <c r="U46" s="166" t="n"/>
      <c r="V46" s="46" t="n"/>
      <c r="W46" s="166" t="n"/>
      <c r="X46" s="166" t="n"/>
      <c r="Y46" s="31" t="inlineStr">
        <is>
          <t>Finalizada</t>
        </is>
      </c>
      <c r="Z46" s="30" t="n"/>
      <c r="AA46" s="30" t="inlineStr">
        <is>
          <t xml:space="preserve">Tecnico </t>
        </is>
      </c>
    </row>
    <row r="47" ht="45" customHeight="1" s="157">
      <c r="A47" s="22" t="inlineStr">
        <is>
          <t>S-44</t>
        </is>
      </c>
      <c r="B47" s="168" t="inlineStr">
        <is>
          <t>VANESSA CADENA</t>
        </is>
      </c>
      <c r="C47" s="169" t="n">
        <v>1001203437</v>
      </c>
      <c r="D47" s="170" t="inlineStr">
        <is>
          <t>MIP</t>
        </is>
      </c>
      <c r="E47" s="168" t="n"/>
      <c r="F47" s="168" t="n"/>
      <c r="G47" s="168" t="inlineStr">
        <is>
          <t>OSCILOSCOPIO</t>
        </is>
      </c>
      <c r="H47" s="168" t="inlineStr">
        <is>
          <t>RIGOL</t>
        </is>
      </c>
      <c r="I47" s="176" t="inlineStr">
        <is>
          <t>DS1EA112800517</t>
        </is>
      </c>
      <c r="J47" s="168" t="n"/>
      <c r="K47" s="168" t="inlineStr">
        <is>
          <t>MAQUINAS A</t>
        </is>
      </c>
      <c r="L47" s="168" t="inlineStr">
        <is>
          <t>NA</t>
        </is>
      </c>
      <c r="M47" s="168" t="n">
        <v>6</v>
      </c>
      <c r="N47" s="168" t="inlineStr">
        <is>
          <t>SE REALIZA LIMPIEZA Y CONEXION Y DESCONEXION DE COMPONENTES</t>
        </is>
      </c>
      <c r="O47" s="168" t="n"/>
      <c r="P47" s="166" t="n"/>
      <c r="Q47" s="166" t="n"/>
      <c r="R47" s="166" t="inlineStr">
        <is>
          <t>Contratistas laboratorios de IEE</t>
        </is>
      </c>
      <c r="S47" s="166" t="inlineStr">
        <is>
          <t>N.A</t>
        </is>
      </c>
      <c r="T47" s="166" t="n"/>
      <c r="U47" s="166" t="n"/>
      <c r="V47" s="46" t="n"/>
      <c r="W47" s="166" t="n"/>
      <c r="X47" s="166" t="n"/>
      <c r="Y47" s="31" t="inlineStr">
        <is>
          <t>Finalizada</t>
        </is>
      </c>
      <c r="Z47" s="30" t="n"/>
      <c r="AA47" s="30" t="inlineStr">
        <is>
          <t xml:space="preserve">Tecnico </t>
        </is>
      </c>
    </row>
    <row r="48" ht="45" customHeight="1" s="157">
      <c r="A48" s="22" t="inlineStr">
        <is>
          <t>S-45</t>
        </is>
      </c>
      <c r="B48" s="167" t="inlineStr">
        <is>
          <t>VANESSA CADENA</t>
        </is>
      </c>
      <c r="C48" s="169" t="n">
        <v>1001203438</v>
      </c>
      <c r="D48" s="170" t="inlineStr">
        <is>
          <t>MIP</t>
        </is>
      </c>
      <c r="E48" s="167" t="n"/>
      <c r="F48" s="167" t="n"/>
      <c r="G48" s="167" t="inlineStr">
        <is>
          <t>OSCILOSCOPIO</t>
        </is>
      </c>
      <c r="H48" s="167" t="inlineStr">
        <is>
          <t>RIGOL</t>
        </is>
      </c>
      <c r="I48" s="52" t="inlineStr">
        <is>
          <t>DS1AD101601054</t>
        </is>
      </c>
      <c r="J48" s="167" t="n">
        <v>17</v>
      </c>
      <c r="K48" s="167" t="inlineStr">
        <is>
          <t>MAQUINAS A</t>
        </is>
      </c>
      <c r="L48" s="167" t="inlineStr">
        <is>
          <t>NA</t>
        </is>
      </c>
      <c r="M48" s="167" t="n">
        <v>7</v>
      </c>
      <c r="N48" s="167" t="inlineStr">
        <is>
          <t>SE REALIZA LIMPIEZA Y CONEXION Y DESCONEXION DE COMPONENTES</t>
        </is>
      </c>
      <c r="O48" s="167" t="n"/>
      <c r="P48" s="166" t="n"/>
      <c r="Q48" s="166" t="n"/>
      <c r="R48" s="166" t="inlineStr">
        <is>
          <t>Contratistas laboratorios de IEE</t>
        </is>
      </c>
      <c r="S48" s="166" t="inlineStr">
        <is>
          <t>N.A</t>
        </is>
      </c>
      <c r="T48" s="166" t="n"/>
      <c r="U48" s="166" t="n"/>
      <c r="V48" s="46" t="n"/>
      <c r="W48" s="166" t="n"/>
      <c r="X48" s="166" t="n"/>
      <c r="Y48" s="31" t="inlineStr">
        <is>
          <t>Finalizada</t>
        </is>
      </c>
      <c r="Z48" s="30" t="n"/>
      <c r="AA48" s="30" t="inlineStr">
        <is>
          <t xml:space="preserve">Tecnico </t>
        </is>
      </c>
    </row>
    <row r="49" ht="45" customHeight="1" s="157">
      <c r="A49" s="22" t="inlineStr">
        <is>
          <t>S-46</t>
        </is>
      </c>
      <c r="B49" s="168" t="inlineStr">
        <is>
          <t>VANESSA CADENA</t>
        </is>
      </c>
      <c r="C49" s="169" t="n">
        <v>1001203439</v>
      </c>
      <c r="D49" s="170" t="inlineStr">
        <is>
          <t>MIP</t>
        </is>
      </c>
      <c r="E49" s="168" t="n"/>
      <c r="F49" s="168" t="n"/>
      <c r="G49" s="168" t="inlineStr">
        <is>
          <t>OSCILOSCOPIO</t>
        </is>
      </c>
      <c r="H49" s="168" t="inlineStr">
        <is>
          <t>GW INSTECK</t>
        </is>
      </c>
      <c r="I49" s="176" t="inlineStr">
        <is>
          <t>EE190208</t>
        </is>
      </c>
      <c r="J49" s="168" t="n">
        <v>51</v>
      </c>
      <c r="K49" s="168" t="inlineStr">
        <is>
          <t>MAQUINAS A</t>
        </is>
      </c>
      <c r="L49" s="168" t="inlineStr">
        <is>
          <t>NA</t>
        </is>
      </c>
      <c r="M49" s="168" t="n">
        <v>8</v>
      </c>
      <c r="N49" s="168" t="inlineStr">
        <is>
          <t>SE REALIZA LIMPIEZA Y CONEXION Y DESCONEXION DE COMPONENTES</t>
        </is>
      </c>
      <c r="O49" s="168" t="n"/>
      <c r="P49" s="166" t="n"/>
      <c r="Q49" s="166" t="n"/>
      <c r="R49" s="166" t="inlineStr">
        <is>
          <t>Contratistas laboratorios de IEE</t>
        </is>
      </c>
      <c r="S49" s="166" t="inlineStr">
        <is>
          <t>N.A</t>
        </is>
      </c>
      <c r="T49" s="166" t="n"/>
      <c r="U49" s="166" t="n"/>
      <c r="V49" s="46" t="n"/>
      <c r="W49" s="166" t="n"/>
      <c r="X49" s="166" t="n"/>
      <c r="Y49" s="31" t="inlineStr">
        <is>
          <t>Finalizada</t>
        </is>
      </c>
      <c r="Z49" s="30" t="n"/>
      <c r="AA49" s="30" t="inlineStr">
        <is>
          <t xml:space="preserve">Tecnico </t>
        </is>
      </c>
    </row>
    <row r="50" ht="45" customHeight="1" s="157">
      <c r="A50" s="22" t="inlineStr">
        <is>
          <t>S-47</t>
        </is>
      </c>
      <c r="B50" s="167" t="inlineStr">
        <is>
          <t>VANESSA CADENA</t>
        </is>
      </c>
      <c r="C50" s="169" t="n">
        <v>1001203432</v>
      </c>
      <c r="D50" s="170" t="inlineStr">
        <is>
          <t>MIP</t>
        </is>
      </c>
      <c r="E50" s="167" t="n"/>
      <c r="F50" s="167" t="n"/>
      <c r="G50" s="167" t="inlineStr">
        <is>
          <t>OSCILOSCOPIO</t>
        </is>
      </c>
      <c r="H50" s="167" t="inlineStr">
        <is>
          <t>RIGOL</t>
        </is>
      </c>
      <c r="I50" s="175" t="inlineStr">
        <is>
          <t>DS1AD105201407</t>
        </is>
      </c>
      <c r="J50" s="167" t="n">
        <v>29</v>
      </c>
      <c r="K50" s="167" t="inlineStr">
        <is>
          <t>MAQUINAS B</t>
        </is>
      </c>
      <c r="L50" s="167" t="inlineStr">
        <is>
          <t>NA</t>
        </is>
      </c>
      <c r="M50" s="167" t="n">
        <v>1</v>
      </c>
      <c r="N50" s="167" t="inlineStr">
        <is>
          <t>SE REALIZA LIMPIEZA Y CONEXION Y DESCONEXION DE COMPONENTES</t>
        </is>
      </c>
      <c r="O50" s="167" t="n"/>
      <c r="P50" s="166" t="n"/>
      <c r="Q50" s="166" t="n"/>
      <c r="R50" s="166" t="inlineStr">
        <is>
          <t>Contratistas laboratorios de IEE</t>
        </is>
      </c>
      <c r="S50" s="166" t="inlineStr">
        <is>
          <t>N.A</t>
        </is>
      </c>
      <c r="T50" s="166" t="n"/>
      <c r="U50" s="166" t="n"/>
      <c r="V50" s="46" t="n"/>
      <c r="W50" s="166" t="n"/>
      <c r="X50" s="166" t="n"/>
      <c r="Y50" s="31" t="inlineStr">
        <is>
          <t>Finalizada</t>
        </is>
      </c>
      <c r="Z50" s="30" t="n"/>
      <c r="AA50" s="30" t="inlineStr">
        <is>
          <t xml:space="preserve">Tecnico </t>
        </is>
      </c>
    </row>
    <row r="51" ht="45" customHeight="1" s="157">
      <c r="A51" s="22" t="inlineStr">
        <is>
          <t>S-48</t>
        </is>
      </c>
      <c r="B51" s="168" t="inlineStr">
        <is>
          <t>VANESSA CADENA</t>
        </is>
      </c>
      <c r="C51" s="169" t="n">
        <v>1001203433</v>
      </c>
      <c r="D51" s="170" t="inlineStr">
        <is>
          <t>MIP</t>
        </is>
      </c>
      <c r="E51" s="172" t="n">
        <v>46126</v>
      </c>
      <c r="F51" s="174" t="n">
        <v>0.4458333333333334</v>
      </c>
      <c r="G51" s="168" t="inlineStr">
        <is>
          <t>OSCILOSCOPIO</t>
        </is>
      </c>
      <c r="H51" s="168" t="inlineStr">
        <is>
          <t>RIGOL</t>
        </is>
      </c>
      <c r="I51" s="176" t="inlineStr">
        <is>
          <t>DS1AD105201417</t>
        </is>
      </c>
      <c r="J51" s="168" t="n">
        <v>9</v>
      </c>
      <c r="K51" s="168" t="inlineStr">
        <is>
          <t>MAQUINAS B</t>
        </is>
      </c>
      <c r="L51" s="168" t="inlineStr">
        <is>
          <t>NA</t>
        </is>
      </c>
      <c r="M51" s="168" t="n">
        <v>2</v>
      </c>
      <c r="N51" s="168" t="inlineStr">
        <is>
          <t>SE REALIZA LIMPIEZA Y CONEXION Y DESCONEXION DE COMPONENTES</t>
        </is>
      </c>
      <c r="O51" s="168" t="n"/>
      <c r="P51" s="166" t="n"/>
      <c r="Q51" s="166" t="n"/>
      <c r="R51" s="166" t="inlineStr">
        <is>
          <t>Contratistas laboratorios de IEE</t>
        </is>
      </c>
      <c r="S51" s="166" t="inlineStr">
        <is>
          <t>N.A</t>
        </is>
      </c>
      <c r="T51" s="166" t="n"/>
      <c r="U51" s="166" t="n"/>
      <c r="V51" s="46" t="n"/>
      <c r="W51" s="166" t="n"/>
      <c r="X51" s="166" t="n"/>
      <c r="Y51" s="31" t="inlineStr">
        <is>
          <t>Finalizada</t>
        </is>
      </c>
      <c r="Z51" s="30" t="n"/>
      <c r="AA51" s="30" t="inlineStr">
        <is>
          <t xml:space="preserve">Tecnico </t>
        </is>
      </c>
    </row>
    <row r="52" ht="45" customHeight="1" s="157">
      <c r="A52" s="22" t="inlineStr">
        <is>
          <t>S-49</t>
        </is>
      </c>
      <c r="B52" s="167" t="inlineStr">
        <is>
          <t>VANESSA CADENA</t>
        </is>
      </c>
      <c r="C52" s="169" t="n">
        <v>1001203434</v>
      </c>
      <c r="D52" s="170" t="inlineStr">
        <is>
          <t>MIP</t>
        </is>
      </c>
      <c r="E52" s="167" t="n"/>
      <c r="F52" s="167" t="n"/>
      <c r="G52" s="167" t="inlineStr">
        <is>
          <t>OSCILOSCOPIO</t>
        </is>
      </c>
      <c r="H52" s="167" t="inlineStr">
        <is>
          <t>RIGOL</t>
        </is>
      </c>
      <c r="I52" s="175" t="inlineStr">
        <is>
          <t>DS1AD105201408</t>
        </is>
      </c>
      <c r="J52" s="167" t="n">
        <v>11</v>
      </c>
      <c r="K52" s="167" t="inlineStr">
        <is>
          <t>MAQUINAS B</t>
        </is>
      </c>
      <c r="L52" s="167" t="inlineStr">
        <is>
          <t>NA</t>
        </is>
      </c>
      <c r="M52" s="167" t="n">
        <v>3</v>
      </c>
      <c r="N52" s="167" t="inlineStr">
        <is>
          <t>SE REALIZA LIMPIEZA Y CONEXION Y DESCONEXION DE COMPONENTES</t>
        </is>
      </c>
      <c r="O52" s="167" t="n"/>
      <c r="P52" s="166" t="n"/>
      <c r="Q52" s="166" t="n"/>
      <c r="R52" s="166" t="inlineStr">
        <is>
          <t>Contratistas laboratorios de IEE</t>
        </is>
      </c>
      <c r="S52" s="166" t="inlineStr">
        <is>
          <t>N.A</t>
        </is>
      </c>
      <c r="T52" s="166" t="n"/>
      <c r="U52" s="166" t="n"/>
      <c r="V52" s="46" t="n"/>
      <c r="W52" s="166" t="n"/>
      <c r="X52" s="166" t="n"/>
      <c r="Y52" s="31" t="inlineStr">
        <is>
          <t>Finalizada</t>
        </is>
      </c>
      <c r="Z52" s="30" t="n"/>
      <c r="AA52" s="30" t="inlineStr">
        <is>
          <t xml:space="preserve">Tecnico </t>
        </is>
      </c>
    </row>
    <row r="53" ht="45" customFormat="1" customHeight="1" s="28">
      <c r="A53" s="22" t="inlineStr">
        <is>
          <t>S-50</t>
        </is>
      </c>
      <c r="B53" s="168" t="inlineStr">
        <is>
          <t>VANESSA CADENA</t>
        </is>
      </c>
      <c r="C53" s="169" t="n">
        <v>1001203435</v>
      </c>
      <c r="D53" s="170" t="inlineStr">
        <is>
          <t>MIP</t>
        </is>
      </c>
      <c r="E53" s="168" t="n"/>
      <c r="F53" s="168" t="n"/>
      <c r="G53" s="168" t="inlineStr">
        <is>
          <t>OSCILOSCOPIO</t>
        </is>
      </c>
      <c r="H53" s="168" t="inlineStr">
        <is>
          <t>RIGOL</t>
        </is>
      </c>
      <c r="I53" s="53" t="inlineStr">
        <is>
          <t>DS1AD104501387</t>
        </is>
      </c>
      <c r="J53" s="168" t="n">
        <v>2</v>
      </c>
      <c r="K53" s="168" t="inlineStr">
        <is>
          <t>MAQUINAS B</t>
        </is>
      </c>
      <c r="L53" s="168" t="inlineStr">
        <is>
          <t>NA</t>
        </is>
      </c>
      <c r="M53" s="168" t="n">
        <v>4</v>
      </c>
      <c r="N53" s="168" t="inlineStr">
        <is>
          <t>SE REALIZA LIMPIEZA Y CONEXION Y DESCONEXION DE COMPONENTES</t>
        </is>
      </c>
      <c r="O53" s="168" t="n"/>
      <c r="P53" s="166" t="n"/>
      <c r="Q53" s="166" t="n"/>
      <c r="R53" s="166" t="inlineStr">
        <is>
          <t>Contratistas laboratorios de IEE</t>
        </is>
      </c>
      <c r="S53" s="166" t="inlineStr">
        <is>
          <t>N.A</t>
        </is>
      </c>
      <c r="T53" s="166" t="n"/>
      <c r="U53" s="166" t="n"/>
      <c r="V53" s="46" t="n"/>
      <c r="W53" s="166" t="n"/>
      <c r="X53" s="166" t="n"/>
      <c r="Y53" s="31" t="inlineStr">
        <is>
          <t>Finalizada</t>
        </is>
      </c>
      <c r="Z53" s="30" t="n"/>
      <c r="AA53" s="30" t="inlineStr">
        <is>
          <t xml:space="preserve">Tecnico </t>
        </is>
      </c>
    </row>
    <row r="54" ht="45" customFormat="1" customHeight="1" s="28">
      <c r="A54" s="22" t="inlineStr">
        <is>
          <t>S-51</t>
        </is>
      </c>
      <c r="B54" s="167" t="inlineStr">
        <is>
          <t>VANESSA CADENA</t>
        </is>
      </c>
      <c r="C54" s="169" t="n">
        <v>1001203436</v>
      </c>
      <c r="D54" s="170" t="inlineStr">
        <is>
          <t>MIP</t>
        </is>
      </c>
      <c r="E54" s="171" t="n">
        <v>46126</v>
      </c>
      <c r="F54" s="173" t="n">
        <v>0.4444444444444444</v>
      </c>
      <c r="G54" s="167" t="inlineStr">
        <is>
          <t>OSCILOSCOPIO</t>
        </is>
      </c>
      <c r="H54" s="167" t="inlineStr">
        <is>
          <t>RIGOL</t>
        </is>
      </c>
      <c r="I54" s="175" t="inlineStr">
        <is>
          <t>DS1AD102801313</t>
        </is>
      </c>
      <c r="J54" s="167" t="n">
        <v>18</v>
      </c>
      <c r="K54" s="167" t="inlineStr">
        <is>
          <t>MAQUINAS B</t>
        </is>
      </c>
      <c r="L54" s="167" t="inlineStr">
        <is>
          <t>NA</t>
        </is>
      </c>
      <c r="M54" s="167" t="n">
        <v>5</v>
      </c>
      <c r="N54" s="167" t="inlineStr">
        <is>
          <t>SE REALIZA LIMPIEZA Y CONEXION Y DESCONEXION DE COMPONENTES</t>
        </is>
      </c>
      <c r="O54" s="167" t="n"/>
      <c r="P54" s="166" t="n"/>
      <c r="Q54" s="166" t="n"/>
      <c r="R54" s="166" t="inlineStr">
        <is>
          <t>Contratistas laboratorios de IEE</t>
        </is>
      </c>
      <c r="S54" s="166" t="inlineStr">
        <is>
          <t>N.A</t>
        </is>
      </c>
      <c r="T54" s="166" t="n"/>
      <c r="U54" s="166" t="n"/>
      <c r="V54" s="46" t="n"/>
      <c r="W54" s="166" t="n"/>
      <c r="X54" s="166" t="n"/>
      <c r="Y54" s="31" t="inlineStr">
        <is>
          <t>Finalizada</t>
        </is>
      </c>
      <c r="Z54" s="30" t="n"/>
      <c r="AA54" s="42" t="inlineStr">
        <is>
          <t xml:space="preserve">Tecnico </t>
        </is>
      </c>
    </row>
    <row r="55" ht="45" customHeight="1" s="157">
      <c r="A55" s="22" t="inlineStr">
        <is>
          <t>S-52</t>
        </is>
      </c>
      <c r="B55" s="168" t="inlineStr">
        <is>
          <t>VANESSA CADENA</t>
        </is>
      </c>
      <c r="C55" s="169" t="n">
        <v>1001203437</v>
      </c>
      <c r="D55" s="170" t="inlineStr">
        <is>
          <t>MIP</t>
        </is>
      </c>
      <c r="E55" s="168" t="n"/>
      <c r="F55" s="168" t="n"/>
      <c r="G55" s="168" t="inlineStr">
        <is>
          <t>OSCILOSCOPIO</t>
        </is>
      </c>
      <c r="H55" s="168" t="inlineStr">
        <is>
          <t>RIGOL</t>
        </is>
      </c>
      <c r="I55" s="190" t="inlineStr">
        <is>
          <t>DS1AD105201420</t>
        </is>
      </c>
      <c r="J55" s="168" t="n">
        <v>10</v>
      </c>
      <c r="K55" s="168" t="inlineStr">
        <is>
          <t>MAQUINAS B</t>
        </is>
      </c>
      <c r="L55" s="168" t="inlineStr">
        <is>
          <t>NA</t>
        </is>
      </c>
      <c r="M55" s="168" t="n">
        <v>6</v>
      </c>
      <c r="N55" s="168" t="inlineStr">
        <is>
          <t>SE REALIZA LIMPIEZA Y CONEXION Y DESCONEXION DE COMPONENTES</t>
        </is>
      </c>
      <c r="O55" s="168" t="n"/>
      <c r="P55" s="166" t="n"/>
      <c r="Q55" s="166" t="n"/>
      <c r="R55" s="166" t="inlineStr">
        <is>
          <t>Contratistas laboratorios de IEE</t>
        </is>
      </c>
      <c r="S55" s="166" t="inlineStr">
        <is>
          <t>N.A</t>
        </is>
      </c>
      <c r="T55" s="166" t="n"/>
      <c r="U55" s="166" t="n"/>
      <c r="V55" s="46" t="n"/>
      <c r="W55" s="166" t="n"/>
      <c r="X55" s="166" t="n"/>
      <c r="Y55" s="31" t="inlineStr">
        <is>
          <t>Finalizada</t>
        </is>
      </c>
      <c r="Z55" s="30" t="n"/>
      <c r="AA55" s="42" t="inlineStr">
        <is>
          <t xml:space="preserve">Tecnico </t>
        </is>
      </c>
    </row>
    <row r="56" ht="45" customHeight="1" s="157">
      <c r="A56" s="22" t="inlineStr">
        <is>
          <t>S-53</t>
        </is>
      </c>
      <c r="B56" s="167" t="inlineStr">
        <is>
          <t>VANESSA CADENA</t>
        </is>
      </c>
      <c r="C56" s="169" t="n">
        <v>1001203438</v>
      </c>
      <c r="D56" s="170" t="inlineStr">
        <is>
          <t>MIP</t>
        </is>
      </c>
      <c r="E56" s="171" t="n">
        <v>46126</v>
      </c>
      <c r="F56" s="173" t="n">
        <v>0.4444444444444444</v>
      </c>
      <c r="G56" s="167" t="inlineStr">
        <is>
          <t>OSCILOSCOPIO</t>
        </is>
      </c>
      <c r="H56" s="167" t="inlineStr">
        <is>
          <t>RIGOL</t>
        </is>
      </c>
      <c r="I56" s="175" t="inlineStr">
        <is>
          <t>DS1AD105201404</t>
        </is>
      </c>
      <c r="J56" s="167" t="n">
        <v>27</v>
      </c>
      <c r="K56" s="167" t="inlineStr">
        <is>
          <t>MAQUINAS B</t>
        </is>
      </c>
      <c r="L56" s="167" t="inlineStr">
        <is>
          <t>NA</t>
        </is>
      </c>
      <c r="M56" s="167" t="n">
        <v>7</v>
      </c>
      <c r="N56" s="167" t="inlineStr">
        <is>
          <t>SE REALIZA LIMPIEZA Y CONEXION Y DESCONEXION DE COMPONENTES</t>
        </is>
      </c>
      <c r="O56" s="167" t="n"/>
      <c r="P56" s="166" t="n"/>
      <c r="Q56" s="166" t="n"/>
      <c r="R56" s="166" t="inlineStr">
        <is>
          <t>Contratistas laboratorios de IEE</t>
        </is>
      </c>
      <c r="S56" s="166" t="inlineStr">
        <is>
          <t>N.A</t>
        </is>
      </c>
      <c r="T56" s="166" t="n"/>
      <c r="U56" s="166" t="n"/>
      <c r="V56" s="46" t="n"/>
      <c r="W56" s="166" t="n"/>
      <c r="X56" s="166" t="n"/>
      <c r="Y56" s="31" t="inlineStr">
        <is>
          <t>Finalizada</t>
        </is>
      </c>
      <c r="Z56" s="30" t="n"/>
      <c r="AA56" s="42" t="inlineStr">
        <is>
          <t xml:space="preserve">Tecnico </t>
        </is>
      </c>
    </row>
    <row r="57" ht="45" customHeight="1" s="157">
      <c r="A57" s="22" t="inlineStr">
        <is>
          <t>S-54</t>
        </is>
      </c>
      <c r="B57" s="168" t="inlineStr">
        <is>
          <t>VANESSA CADENA</t>
        </is>
      </c>
      <c r="C57" s="169" t="n">
        <v>1001203439</v>
      </c>
      <c r="D57" s="170" t="inlineStr">
        <is>
          <t>MIP</t>
        </is>
      </c>
      <c r="E57" s="168" t="n"/>
      <c r="F57" s="168" t="n"/>
      <c r="G57" s="168" t="inlineStr">
        <is>
          <t>OSCILOSCOPIO</t>
        </is>
      </c>
      <c r="H57" s="168" t="inlineStr">
        <is>
          <t>RIGOL</t>
        </is>
      </c>
      <c r="I57" s="176" t="inlineStr">
        <is>
          <t>DS1AD105201431</t>
        </is>
      </c>
      <c r="J57" s="168" t="n">
        <v>30</v>
      </c>
      <c r="K57" s="168" t="inlineStr">
        <is>
          <t>MAQUINAS B</t>
        </is>
      </c>
      <c r="L57" s="168" t="inlineStr">
        <is>
          <t>NA</t>
        </is>
      </c>
      <c r="M57" s="168" t="n">
        <v>8</v>
      </c>
      <c r="N57" s="168" t="inlineStr">
        <is>
          <t>SE REALIZA LIMPIEZA Y CONEXION Y DESCONEXION DE COMPONENTES</t>
        </is>
      </c>
      <c r="O57" s="168" t="n"/>
      <c r="P57" s="166" t="n"/>
      <c r="Q57" s="166" t="n"/>
      <c r="R57" s="166" t="inlineStr">
        <is>
          <t>Contratistas laboratorios de IEE</t>
        </is>
      </c>
      <c r="S57" s="166" t="inlineStr">
        <is>
          <t>N.A</t>
        </is>
      </c>
      <c r="T57" s="166" t="n"/>
      <c r="U57" s="166" t="n"/>
      <c r="V57" s="46" t="n"/>
      <c r="W57" s="166" t="n"/>
      <c r="X57" s="166" t="n"/>
      <c r="Y57" s="31" t="inlineStr">
        <is>
          <t>Finalizada</t>
        </is>
      </c>
      <c r="Z57" s="30" t="n"/>
      <c r="AA57" s="42" t="inlineStr">
        <is>
          <t xml:space="preserve">Tecnico </t>
        </is>
      </c>
    </row>
    <row r="58" ht="240" customHeight="1" s="157">
      <c r="A58" s="22" t="inlineStr">
        <is>
          <t>S-55</t>
        </is>
      </c>
      <c r="B58" s="167" t="inlineStr">
        <is>
          <t>WILLIAM RICARDO LOPEZ</t>
        </is>
      </c>
      <c r="C58" s="169" t="n">
        <v>20232007149</v>
      </c>
      <c r="D58" s="167" t="inlineStr">
        <is>
          <t>MIC</t>
        </is>
      </c>
      <c r="E58" s="171" t="n">
        <v>46149</v>
      </c>
      <c r="F58" s="173" t="n">
        <v>0.3333333333333333</v>
      </c>
      <c r="G58" s="167" t="inlineStr">
        <is>
          <t>CARGA RESISTIVA TRIFASICA</t>
        </is>
      </c>
      <c r="H58" s="167" t="inlineStr">
        <is>
          <t>SOLINGENI</t>
        </is>
      </c>
      <c r="I58" s="189" t="n">
        <v>2020080300004</v>
      </c>
      <c r="J58" s="167" t="n">
        <v>4</v>
      </c>
      <c r="K58" s="167" t="inlineStr">
        <is>
          <t>MAQUINAS A</t>
        </is>
      </c>
      <c r="L58" s="167" t="inlineStr">
        <is>
          <t>CIRCUITOS 2</t>
        </is>
      </c>
      <c r="M58" s="167" t="n">
        <v>4</v>
      </c>
      <c r="N58" s="167" t="inlineStr">
        <is>
          <t>R1 Y R2 PROBABLEMENTE EN CORTO, EN CUALQUIER POSICION AL ENERGIZAR SE SALTAN LAS PROTECCIONES</t>
        </is>
      </c>
      <c r="O58" s="167" t="n"/>
      <c r="P58" s="166" t="inlineStr">
        <is>
          <t>VANESSA CADENA/CARLOS RODRIGUEZ</t>
        </is>
      </c>
      <c r="Q58" s="177" t="n">
        <v>46149</v>
      </c>
      <c r="R58" s="166" t="inlineStr">
        <is>
          <t>Contratistas laboratorios de IEE</t>
        </is>
      </c>
      <c r="S58" s="166" t="inlineStr">
        <is>
          <t>N.A</t>
        </is>
      </c>
      <c r="T58" s="166" t="inlineStr">
        <is>
          <t>Se evidencia que las resistencias se fundieron por lo que se encontraba en corto, adicionalmente, estas se encuentran abiertas por lo que aun que se repararon no se puede hacer nada más ya que no se cuentan con los repuestos.</t>
        </is>
      </c>
      <c r="U58" s="166" t="inlineStr">
        <is>
          <t>Se procede a realizar una primer verificacion de funcionamiento en la que se corrobora el mal funcionamiento del equipo, se continua con la apertura del equipo en donde se evidiencia el mal estado de los componentes internos las resistencias se encontraban en corto y unas cuantas estaban habiertas se procede a realizar el desmontaje de cada una de las resistencias y verificar su estado para constatar que efectivamente la mayoria estaban defectuasas; se realiza limpieza en general y se procede a nuevamente hacer el montaje del equipo.</t>
        </is>
      </c>
      <c r="V58" s="46" t="inlineStr">
        <is>
          <t>Mantenimiento externo</t>
        </is>
      </c>
      <c r="W58" s="166" t="inlineStr">
        <is>
          <t xml:space="preserve">Resistencias </t>
        </is>
      </c>
      <c r="X58" s="166" t="n"/>
      <c r="Y58" s="54" t="inlineStr">
        <is>
          <t>Finalizada</t>
        </is>
      </c>
      <c r="Z58" s="32" t="n"/>
      <c r="AA58" s="42" t="inlineStr">
        <is>
          <t xml:space="preserve">Tecnico </t>
        </is>
      </c>
    </row>
    <row r="59" ht="150" customHeight="1" s="157">
      <c r="A59" s="22" t="inlineStr">
        <is>
          <t>S-56</t>
        </is>
      </c>
      <c r="B59" s="111" t="inlineStr">
        <is>
          <t>Juan Camilo Cañas Tirado</t>
        </is>
      </c>
      <c r="C59" s="64" t="n">
        <v>1005205581</v>
      </c>
      <c r="D59" s="111" t="inlineStr">
        <is>
          <t>MIP</t>
        </is>
      </c>
      <c r="E59" s="55" t="n">
        <v>46087</v>
      </c>
      <c r="F59" s="56" t="n">
        <v>0.3333333333333333</v>
      </c>
      <c r="G59" s="111" t="inlineStr">
        <is>
          <t>FUENTE DC</t>
        </is>
      </c>
      <c r="H59" s="111" t="n"/>
      <c r="I59" s="57" t="n">
        <v>2023032200245</v>
      </c>
      <c r="J59" s="111" t="n">
        <v>1</v>
      </c>
      <c r="K59" s="111" t="inlineStr">
        <is>
          <t>ELECTRONICA A</t>
        </is>
      </c>
      <c r="L59" s="111" t="inlineStr">
        <is>
          <t>N.A</t>
        </is>
      </c>
      <c r="M59" s="111" t="n"/>
      <c r="N59" s="111" t="inlineStr">
        <is>
          <t>Se realizó MIP a la fuente DC, de acuerdo con el cronograma de mantenimientos establecido, efectuando limpieza interna y externa del equipo, revisión de sus componentes y verificación general de funcionamiento, con el fin de garantizar condiciones adecuadas para su operación.</t>
        </is>
      </c>
      <c r="O59" s="111" t="n"/>
      <c r="P59" s="58" t="inlineStr">
        <is>
          <t>Juan Camilo Cañas</t>
        </is>
      </c>
      <c r="Q59" s="63" t="n">
        <v>46087</v>
      </c>
      <c r="R59" s="166" t="inlineStr">
        <is>
          <t>Contratistas laboratorios de IEE</t>
        </is>
      </c>
      <c r="S59" s="58" t="inlineStr">
        <is>
          <t>N.A</t>
        </is>
      </c>
      <c r="T59" s="58" t="inlineStr">
        <is>
          <t>Se evidenció acumulación excesiva de polvo y presencia de mugre en el interior del equipo. A nivel operativo, el equipo se encuentra funcional y presenta un correcto funcionamiento.</t>
        </is>
      </c>
      <c r="U59" s="58" t="inlineStr">
        <is>
          <t>Se realizó MIP a la fuente DC, incluyendo limpieza interna y externa, revisión de conexiones y componentes, y verificación de los sistemas de ventilación y regulación. Finalmente, se realizaron pruebas de funcionamiento, voltaje, corriente y modos de operación, comprobando su correcto funcionamiento.</t>
        </is>
      </c>
      <c r="V59" s="58" t="inlineStr">
        <is>
          <t>Operativo</t>
        </is>
      </c>
      <c r="W59" s="58" t="n"/>
      <c r="X59" s="58" t="n"/>
      <c r="Y59" s="59" t="inlineStr">
        <is>
          <t>Finalizada</t>
        </is>
      </c>
      <c r="Z59" s="59" t="n"/>
      <c r="AA59" s="59" t="inlineStr">
        <is>
          <t xml:space="preserve">Tecnico </t>
        </is>
      </c>
    </row>
    <row r="60" ht="150" customHeight="1" s="157">
      <c r="A60" s="22" t="inlineStr">
        <is>
          <t>S-57</t>
        </is>
      </c>
      <c r="B60" s="111" t="inlineStr">
        <is>
          <t>Juan Camilo Cañas Tirado</t>
        </is>
      </c>
      <c r="C60" s="64" t="n">
        <v>1005205581</v>
      </c>
      <c r="D60" s="111" t="inlineStr">
        <is>
          <t>MIP</t>
        </is>
      </c>
      <c r="E60" s="55" t="n">
        <v>46087</v>
      </c>
      <c r="F60" s="56" t="n">
        <v>0.375</v>
      </c>
      <c r="G60" s="111" t="inlineStr">
        <is>
          <t>FUENTE DC</t>
        </is>
      </c>
      <c r="H60" s="60" t="n"/>
      <c r="I60" s="65" t="n">
        <v>2017092700006</v>
      </c>
      <c r="J60" s="60" t="n"/>
      <c r="K60" s="111" t="inlineStr">
        <is>
          <t>ELECTRONICA A</t>
        </is>
      </c>
      <c r="L60" s="111" t="inlineStr">
        <is>
          <t>N.A</t>
        </is>
      </c>
      <c r="M60" s="111" t="n"/>
      <c r="N60" s="111" t="inlineStr">
        <is>
          <t>Se realizó MIP a la fuente DC, de acuerdo con el cronograma de mantenimientos establecido, efectuando limpieza interna y externa del equipo, revisión de sus componentes y verificación general de funcionamiento, con el fin de garantizar condiciones adecuadas para su operación.</t>
        </is>
      </c>
      <c r="O60" s="60" t="n"/>
      <c r="P60" s="58" t="inlineStr">
        <is>
          <t>Juan Camilo Cañas</t>
        </is>
      </c>
      <c r="Q60" s="63" t="n">
        <v>46087</v>
      </c>
      <c r="R60" s="166" t="inlineStr">
        <is>
          <t>Contratistas laboratorios de IEE</t>
        </is>
      </c>
      <c r="S60" s="58" t="inlineStr">
        <is>
          <t>N.A</t>
        </is>
      </c>
      <c r="T60" s="58" t="inlineStr">
        <is>
          <t>Se evidenció acumulación excesiva de polvo y presencia de mugre en el interior del equipo. A nivel operativo, el equipo se encuentra funcional y presenta un correcto funcionamiento.</t>
        </is>
      </c>
      <c r="U60" s="58" t="inlineStr">
        <is>
          <t>Se realizó MIP a la fuente DC, incluyendo limpieza interna y externa, revisión de conexiones y componentes, y verificación de los sistemas de ventilación y regulación. Finalmente, se realizaron pruebas de funcionamiento, voltaje, corriente y modos de operación, comprobando su correcto funcionamiento.</t>
        </is>
      </c>
      <c r="V60" s="58" t="inlineStr">
        <is>
          <t>Operativo</t>
        </is>
      </c>
      <c r="W60" s="58" t="n"/>
      <c r="X60" s="58" t="n"/>
      <c r="Y60" s="59" t="inlineStr">
        <is>
          <t>Finalizada</t>
        </is>
      </c>
      <c r="Z60" s="59" t="n"/>
      <c r="AA60" s="59" t="inlineStr">
        <is>
          <t xml:space="preserve">Tecnico </t>
        </is>
      </c>
    </row>
    <row r="61" ht="150" customHeight="1" s="157">
      <c r="A61" s="22" t="inlineStr">
        <is>
          <t>S-58</t>
        </is>
      </c>
      <c r="B61" s="111" t="inlineStr">
        <is>
          <t>Juan Camilo Cañas Tirado</t>
        </is>
      </c>
      <c r="C61" s="64" t="n">
        <v>1005205582</v>
      </c>
      <c r="D61" s="111" t="inlineStr">
        <is>
          <t>MIP</t>
        </is>
      </c>
      <c r="E61" s="55" t="n">
        <v>46087</v>
      </c>
      <c r="F61" s="56" t="n">
        <v>0.4166666666666667</v>
      </c>
      <c r="G61" s="111" t="inlineStr">
        <is>
          <t>FUENTE DC</t>
        </is>
      </c>
      <c r="H61" s="60" t="n"/>
      <c r="I61" s="61" t="n">
        <v>20250709014</v>
      </c>
      <c r="J61" s="60" t="n"/>
      <c r="K61" s="111" t="inlineStr">
        <is>
          <t>ELECTRONICA A</t>
        </is>
      </c>
      <c r="L61" s="111" t="inlineStr">
        <is>
          <t>N.A</t>
        </is>
      </c>
      <c r="M61" s="111" t="n"/>
      <c r="N61" s="111" t="inlineStr">
        <is>
          <t>Se realizó MIP a la fuente DC, de acuerdo con el cronograma de mantenimientos establecido, efectuando limpieza interna y externa del equipo, revisión de sus componentes y verificación general de funcionamiento, con el fin de garantizar condiciones adecuadas para su operación.</t>
        </is>
      </c>
      <c r="O61" s="60" t="n"/>
      <c r="P61" s="58" t="inlineStr">
        <is>
          <t>Juan Camilo Cañas</t>
        </is>
      </c>
      <c r="Q61" s="63" t="n">
        <v>46087</v>
      </c>
      <c r="R61" s="166" t="inlineStr">
        <is>
          <t>Contratistas laboratorios de IEE</t>
        </is>
      </c>
      <c r="S61" s="58" t="inlineStr">
        <is>
          <t>N.A</t>
        </is>
      </c>
      <c r="T61" s="58" t="inlineStr">
        <is>
          <t>Se evidenció acumulación excesiva de polvo y presencia de mugre en el interior del equipo. A nivel operativo, el equipo se encuentra funcional y presenta un correcto funcionamiento.</t>
        </is>
      </c>
      <c r="U61" s="58" t="inlineStr">
        <is>
          <t>Se realizó MIP a la fuente DC, incluyendo limpieza interna y externa, revisión de conexiones y componentes, y verificación de los sistemas de ventilación y regulación. Finalmente, se realizaron pruebas de funcionamiento, voltaje, corriente y modos de operación, comprobando su correcto funcionamiento.</t>
        </is>
      </c>
      <c r="V61" s="58" t="inlineStr">
        <is>
          <t>Operativo</t>
        </is>
      </c>
      <c r="W61" s="58" t="n"/>
      <c r="X61" s="58" t="n"/>
      <c r="Y61" s="59" t="inlineStr">
        <is>
          <t>Finalizada</t>
        </is>
      </c>
      <c r="Z61" s="59" t="n"/>
      <c r="AA61" s="59" t="inlineStr">
        <is>
          <t xml:space="preserve">Tecnico </t>
        </is>
      </c>
    </row>
    <row r="62" ht="167.25" customHeight="1" s="157">
      <c r="A62" s="22" t="inlineStr">
        <is>
          <t>S-59</t>
        </is>
      </c>
      <c r="B62" s="111" t="inlineStr">
        <is>
          <t>Juan Camilo Cañas Tirado</t>
        </is>
      </c>
      <c r="C62" s="64" t="n">
        <v>1005205583</v>
      </c>
      <c r="D62" s="111" t="inlineStr">
        <is>
          <t>MIP</t>
        </is>
      </c>
      <c r="E62" s="55" t="n">
        <v>46088</v>
      </c>
      <c r="F62" s="56" t="n">
        <v>0.4583333333333333</v>
      </c>
      <c r="G62" s="111" t="inlineStr">
        <is>
          <t>FUENTE DC</t>
        </is>
      </c>
      <c r="H62" s="60" t="n"/>
      <c r="I62" s="40" t="n">
        <v>20250709016</v>
      </c>
      <c r="J62" s="60" t="n"/>
      <c r="K62" s="111" t="inlineStr">
        <is>
          <t>ELECTRONICA A</t>
        </is>
      </c>
      <c r="L62" s="111" t="inlineStr">
        <is>
          <t>N.A</t>
        </is>
      </c>
      <c r="M62" s="111" t="n"/>
      <c r="N62" s="111" t="inlineStr">
        <is>
          <t>Se realizó MIP a la fuente DC, de acuerdo con el cronograma de mantenimientos establecido, efectuando limpieza interna y externa del equipo, revisión de sus componentes y verificación general de funcionamiento, con el fin de garantizar condiciones adecuadas para su operación.</t>
        </is>
      </c>
      <c r="O62" s="60" t="n"/>
      <c r="P62" s="58" t="inlineStr">
        <is>
          <t>Juan Camilo Cañas</t>
        </is>
      </c>
      <c r="Q62" s="63" t="n">
        <v>46088</v>
      </c>
      <c r="R62" s="166" t="inlineStr">
        <is>
          <t>Contratistas laboratorios de IEE</t>
        </is>
      </c>
      <c r="S62" s="58" t="inlineStr">
        <is>
          <t>N.A</t>
        </is>
      </c>
      <c r="T62" s="58" t="inlineStr">
        <is>
          <t>Se evidenció acumulación excesiva de polvo y presencia de mugre en el interior del equipo. A nivel operativo, el equipo se encuentra funcional y presenta un correcto funcionamiento.</t>
        </is>
      </c>
      <c r="U62" s="58" t="inlineStr">
        <is>
          <t>Se realizó MIP a la fuente DC, incluyendo limpieza interna y externa, revisión de conexiones y componentes, y verificación de los sistemas de ventilación y regulación. Finalmente, se realizaron pruebas de funcionamiento, voltaje, corriente y modos de operación, comprobando su correcto funcionamiento.</t>
        </is>
      </c>
      <c r="V62" s="58" t="inlineStr">
        <is>
          <t>Operativo</t>
        </is>
      </c>
      <c r="W62" s="58" t="n"/>
      <c r="X62" s="58" t="n"/>
      <c r="Y62" s="59" t="inlineStr">
        <is>
          <t>Finalizada</t>
        </is>
      </c>
      <c r="Z62" s="59" t="n"/>
      <c r="AA62" s="59" t="inlineStr">
        <is>
          <t xml:space="preserve">Tecnico </t>
        </is>
      </c>
    </row>
    <row r="63" ht="167.25" customHeight="1" s="157">
      <c r="A63" s="22" t="inlineStr">
        <is>
          <t>S-60</t>
        </is>
      </c>
      <c r="B63" s="110" t="n"/>
      <c r="C63" s="64">
        <f>IF(OfficeForms.Table[[#This Row],[Nombre1]]="","",VLOOKUP(OfficeForms.Table[[#This Row],[Nombre1]]:OfficeForms.Table[[#This Row],[Nombre1]],CPS!A60:B65,2,FALSE))</f>
        <v/>
      </c>
      <c r="D63" s="111">
        <f>IF(OfficeForms.Table[[#This Row],[Nombre1]]="","",VLOOKUP(OfficeForms.Table[[#This Row],[Nombre1]]:OfficeForms.Table[[#This Row],[Nombre1]],CPS!A62:C66,2,FALSE))</f>
        <v/>
      </c>
      <c r="E63" s="55" t="n"/>
      <c r="F63" s="112" t="n"/>
      <c r="G63" s="113" t="n"/>
      <c r="H63" s="114" t="n"/>
      <c r="I63" s="40" t="n"/>
      <c r="J63" s="114" t="n"/>
      <c r="K63" s="113" t="n"/>
      <c r="L63" s="113" t="n"/>
      <c r="M63" s="113" t="n"/>
      <c r="N63" s="113" t="n"/>
      <c r="O63" s="114" t="n"/>
      <c r="P63" s="115" t="n"/>
      <c r="Q63" s="120" t="n"/>
      <c r="R63" s="120" t="n"/>
      <c r="S63" s="120" t="n"/>
      <c r="T63" s="115" t="n"/>
      <c r="U63" s="115" t="n"/>
      <c r="V63" s="115" t="n"/>
      <c r="W63" s="115" t="n"/>
      <c r="X63" s="115" t="n"/>
      <c r="Y63" s="30" t="n"/>
      <c r="Z63" s="30" t="n"/>
      <c r="AA63" s="30" t="n"/>
    </row>
    <row r="64" ht="167.25" customHeight="1" s="157">
      <c r="A64" s="22" t="inlineStr">
        <is>
          <t>S-61</t>
        </is>
      </c>
      <c r="B64" s="110" t="n"/>
      <c r="C64" s="64">
        <f>IF(OfficeForms.Table[[#This Row],[Nombre1]]="","",VLOOKUP(OfficeForms.Table[[#This Row],[Nombre1]]:OfficeForms.Table[[#This Row],[Nombre1]],CPS!A61:B66,2,FALSE))</f>
        <v/>
      </c>
      <c r="D64" s="111">
        <f>IF(OfficeForms.Table[[#This Row],[Nombre1]]="","",VLOOKUP(OfficeForms.Table[[#This Row],[Nombre1]]:OfficeForms.Table[[#This Row],[Nombre1]],CPS!A63:C67,2,FALSE))</f>
        <v/>
      </c>
      <c r="E64" s="55" t="n"/>
      <c r="F64" s="112" t="n"/>
      <c r="G64" s="113" t="n"/>
      <c r="H64" s="114" t="n"/>
      <c r="I64" s="40" t="n"/>
      <c r="J64" s="114" t="n"/>
      <c r="K64" s="113" t="n"/>
      <c r="L64" s="113" t="n"/>
      <c r="M64" s="113" t="n"/>
      <c r="N64" s="113" t="n"/>
      <c r="O64" s="114" t="n"/>
      <c r="P64" s="115" t="n"/>
      <c r="Q64" s="120" t="n"/>
      <c r="R64" s="120" t="n"/>
      <c r="S64" s="120" t="n"/>
      <c r="T64" s="115" t="n"/>
      <c r="U64" s="115" t="n"/>
      <c r="V64" s="115" t="n"/>
      <c r="W64" s="115" t="n"/>
      <c r="X64" s="115" t="n"/>
      <c r="Y64" s="30" t="n"/>
      <c r="Z64" s="30" t="n"/>
      <c r="AA64" s="30" t="n"/>
    </row>
    <row r="65" ht="167.25" customHeight="1" s="157">
      <c r="A65" s="22" t="inlineStr">
        <is>
          <t>S-62</t>
        </is>
      </c>
      <c r="B65" s="110" t="n"/>
      <c r="C65" s="64">
        <f>IF(OfficeForms.Table[[#This Row],[Nombre1]]="","",VLOOKUP(OfficeForms.Table[[#This Row],[Nombre1]]:OfficeForms.Table[[#This Row],[Nombre1]],CPS!A62:B67,2,FALSE))</f>
        <v/>
      </c>
      <c r="D65" s="111">
        <f>IF(OfficeForms.Table[[#This Row],[Nombre1]]="","",VLOOKUP(OfficeForms.Table[[#This Row],[Nombre1]]:OfficeForms.Table[[#This Row],[Nombre1]],CPS!A64:C68,2,FALSE))</f>
        <v/>
      </c>
      <c r="E65" s="55" t="n"/>
      <c r="F65" s="112" t="n"/>
      <c r="G65" s="113" t="n"/>
      <c r="H65" s="114" t="n"/>
      <c r="I65" s="40" t="n"/>
      <c r="J65" s="114" t="n"/>
      <c r="K65" s="113" t="n"/>
      <c r="L65" s="113" t="n"/>
      <c r="M65" s="113" t="n"/>
      <c r="N65" s="113" t="n"/>
      <c r="O65" s="114" t="n"/>
      <c r="P65" s="115" t="n"/>
      <c r="Q65" s="120" t="n"/>
      <c r="R65" s="120" t="n"/>
      <c r="S65" s="120" t="n"/>
      <c r="T65" s="115" t="n"/>
      <c r="U65" s="115" t="n"/>
      <c r="V65" s="115" t="n"/>
      <c r="W65" s="115" t="n"/>
      <c r="X65" s="115" t="n"/>
      <c r="Y65" s="30" t="n"/>
      <c r="Z65" s="30" t="n"/>
      <c r="AA65" s="30" t="n"/>
    </row>
    <row r="66" ht="167.25" customHeight="1" s="157">
      <c r="A66" s="22" t="inlineStr">
        <is>
          <t>S-63</t>
        </is>
      </c>
      <c r="B66" s="110" t="n"/>
      <c r="C66" s="64">
        <f>IF(OfficeForms.Table[[#This Row],[Nombre1]]="","",VLOOKUP(OfficeForms.Table[[#This Row],[Nombre1]]:OfficeForms.Table[[#This Row],[Nombre1]],CPS!A63:B68,2,FALSE))</f>
        <v/>
      </c>
      <c r="D66" s="111">
        <f>IF(OfficeForms.Table[[#This Row],[Nombre1]]="","",VLOOKUP(OfficeForms.Table[[#This Row],[Nombre1]]:OfficeForms.Table[[#This Row],[Nombre1]],CPS!A65:C69,2,FALSE))</f>
        <v/>
      </c>
      <c r="E66" s="55" t="n"/>
      <c r="F66" s="112" t="n"/>
      <c r="G66" s="113" t="n"/>
      <c r="H66" s="114" t="n"/>
      <c r="I66" s="40" t="n"/>
      <c r="J66" s="114" t="n"/>
      <c r="K66" s="113" t="n"/>
      <c r="L66" s="113" t="n"/>
      <c r="M66" s="113" t="n"/>
      <c r="N66" s="113" t="n"/>
      <c r="O66" s="114" t="n"/>
      <c r="P66" s="115" t="n"/>
      <c r="Q66" s="120" t="n"/>
      <c r="R66" s="120" t="n"/>
      <c r="S66" s="120" t="n"/>
      <c r="T66" s="115" t="n"/>
      <c r="U66" s="115" t="n"/>
      <c r="V66" s="115" t="n"/>
      <c r="W66" s="115" t="n"/>
      <c r="X66" s="115" t="n"/>
      <c r="Y66" s="30" t="n"/>
      <c r="Z66" s="30" t="n"/>
      <c r="AA66" s="30" t="n"/>
    </row>
    <row r="67" ht="167.25" customHeight="1" s="157">
      <c r="A67" s="22" t="inlineStr">
        <is>
          <t>S-64</t>
        </is>
      </c>
      <c r="B67" s="110" t="n"/>
      <c r="C67" s="64">
        <f>IF(OfficeForms.Table[[#This Row],[Nombre1]]="","",VLOOKUP(OfficeForms.Table[[#This Row],[Nombre1]]:OfficeForms.Table[[#This Row],[Nombre1]],CPS!A64:B69,2,FALSE))</f>
        <v/>
      </c>
      <c r="D67" s="111">
        <f>IF(OfficeForms.Table[[#This Row],[Nombre1]]="","",VLOOKUP(OfficeForms.Table[[#This Row],[Nombre1]]:OfficeForms.Table[[#This Row],[Nombre1]],CPS!A66:C70,2,FALSE))</f>
        <v/>
      </c>
      <c r="E67" s="55" t="n"/>
      <c r="F67" s="112" t="n"/>
      <c r="G67" s="113" t="n"/>
      <c r="H67" s="114" t="n"/>
      <c r="I67" s="40" t="n"/>
      <c r="J67" s="114" t="n"/>
      <c r="K67" s="113" t="n"/>
      <c r="L67" s="113" t="n"/>
      <c r="M67" s="113" t="n"/>
      <c r="N67" s="113" t="n"/>
      <c r="O67" s="114" t="n"/>
      <c r="P67" s="115" t="n"/>
      <c r="Q67" s="120" t="n"/>
      <c r="R67" s="120" t="n"/>
      <c r="S67" s="120" t="n"/>
      <c r="T67" s="115" t="n"/>
      <c r="U67" s="115" t="n"/>
      <c r="V67" s="115" t="n"/>
      <c r="W67" s="115" t="n"/>
      <c r="X67" s="115" t="n"/>
      <c r="Y67" s="30" t="n"/>
      <c r="Z67" s="30" t="n"/>
      <c r="AA67" s="30" t="n"/>
    </row>
    <row r="68" ht="167.25" customHeight="1" s="157">
      <c r="A68" s="22" t="inlineStr">
        <is>
          <t>S-65</t>
        </is>
      </c>
      <c r="B68" s="110" t="n"/>
      <c r="C68" s="64">
        <f>IF(OfficeForms.Table[[#This Row],[Nombre1]]="","",VLOOKUP(OfficeForms.Table[[#This Row],[Nombre1]]:OfficeForms.Table[[#This Row],[Nombre1]],CPS!A65:B70,2,FALSE))</f>
        <v/>
      </c>
      <c r="D68" s="111">
        <f>IF(OfficeForms.Table[[#This Row],[Nombre1]]="","",VLOOKUP(OfficeForms.Table[[#This Row],[Nombre1]]:OfficeForms.Table[[#This Row],[Nombre1]],CPS!A67:C71,2,FALSE))</f>
        <v/>
      </c>
      <c r="E68" s="55" t="n"/>
      <c r="F68" s="112" t="n"/>
      <c r="G68" s="113" t="n"/>
      <c r="H68" s="114" t="n"/>
      <c r="I68" s="40" t="n"/>
      <c r="J68" s="114" t="n"/>
      <c r="K68" s="113" t="n"/>
      <c r="L68" s="113" t="n"/>
      <c r="M68" s="113" t="n"/>
      <c r="N68" s="113" t="n"/>
      <c r="O68" s="114" t="n"/>
      <c r="P68" s="115" t="n"/>
      <c r="Q68" s="120" t="n"/>
      <c r="R68" s="120" t="n"/>
      <c r="S68" s="120" t="n"/>
      <c r="T68" s="115" t="n"/>
      <c r="U68" s="115" t="n"/>
      <c r="V68" s="115" t="n"/>
      <c r="W68" s="115" t="n"/>
      <c r="X68" s="115" t="n"/>
      <c r="Y68" s="30" t="n"/>
      <c r="Z68" s="30" t="n"/>
      <c r="AA68" s="30" t="n"/>
    </row>
    <row r="69">
      <c r="A69" s="22" t="inlineStr">
        <is>
          <t>S-66</t>
        </is>
      </c>
      <c r="B69" s="110" t="n"/>
      <c r="C69" s="64">
        <f>IF(OfficeForms.Table[[#This Row],[Nombre1]]="","",VLOOKUP(OfficeForms.Table[[#This Row],[Nombre1]]:OfficeForms.Table[[#This Row],[Nombre1]],CPS!A60:B65,2,FALSE))</f>
        <v/>
      </c>
      <c r="D69" s="111">
        <f>IF(OfficeForms.Table[[#This Row],[Nombre1]]="","",VLOOKUP(OfficeForms.Table[[#This Row],[Nombre1]]:OfficeForms.Table[[#This Row],[Nombre1]],CPS!A62:C66,2,FALSE))</f>
        <v/>
      </c>
      <c r="E69" s="55" t="n"/>
      <c r="F69" s="112" t="n"/>
      <c r="G69" s="113" t="n"/>
      <c r="H69" s="114" t="n"/>
      <c r="I69" s="40" t="n"/>
      <c r="J69" s="114" t="n"/>
      <c r="K69" s="113" t="n"/>
      <c r="L69" s="113" t="n"/>
      <c r="M69" s="113" t="n"/>
      <c r="N69" s="113" t="n"/>
      <c r="O69" s="114" t="n"/>
      <c r="P69" s="115" t="n"/>
      <c r="Q69" s="120" t="n"/>
      <c r="R69" s="120" t="n"/>
      <c r="S69" s="120" t="n"/>
      <c r="T69" s="115" t="n"/>
      <c r="U69" s="115" t="n"/>
      <c r="V69" s="115" t="n"/>
      <c r="W69" s="115" t="n"/>
      <c r="X69" s="115" t="n"/>
      <c r="Y69" s="30" t="n"/>
      <c r="Z69" s="30" t="n"/>
      <c r="AA69" s="30" t="n"/>
    </row>
    <row r="70">
      <c r="A70" s="22" t="inlineStr">
        <is>
          <t>S-67</t>
        </is>
      </c>
      <c r="B70" s="110" t="n"/>
      <c r="C70" s="64">
        <f>IF(OfficeForms.Table[[#This Row],[Nombre1]]="","",VLOOKUP(OfficeForms.Table[[#This Row],[Nombre1]]:OfficeForms.Table[[#This Row],[Nombre1]],CPS!A61:B66,2,FALSE))</f>
        <v/>
      </c>
      <c r="D70" s="111">
        <f>IF(OfficeForms.Table[[#This Row],[Nombre1]]="","",VLOOKUP(OfficeForms.Table[[#This Row],[Nombre1]]:OfficeForms.Table[[#This Row],[Nombre1]],CPS!A63:C67,2,FALSE))</f>
        <v/>
      </c>
      <c r="E70" s="55" t="n"/>
      <c r="F70" s="112" t="n"/>
      <c r="G70" s="113" t="n"/>
      <c r="H70" s="114" t="n"/>
      <c r="I70" s="40" t="n"/>
      <c r="J70" s="114" t="n"/>
      <c r="K70" s="113" t="n"/>
      <c r="L70" s="113" t="n"/>
      <c r="M70" s="113" t="n"/>
      <c r="N70" s="113" t="n"/>
      <c r="O70" s="114" t="n"/>
      <c r="P70" s="115" t="n"/>
      <c r="Q70" s="120" t="n"/>
      <c r="R70" s="120" t="n"/>
      <c r="S70" s="120" t="n"/>
      <c r="T70" s="115" t="n"/>
      <c r="U70" s="115" t="n"/>
      <c r="V70" s="115" t="n"/>
      <c r="W70" s="115" t="n"/>
      <c r="X70" s="115" t="n"/>
      <c r="Y70" s="30" t="n"/>
      <c r="Z70" s="30" t="n"/>
      <c r="AA70" s="30" t="n"/>
    </row>
    <row r="71">
      <c r="A71" s="22" t="inlineStr">
        <is>
          <t>S-68</t>
        </is>
      </c>
      <c r="B71" s="110" t="n"/>
      <c r="C71" s="64">
        <f>IF(OfficeForms.Table[[#This Row],[Nombre1]]="","",VLOOKUP(OfficeForms.Table[[#This Row],[Nombre1]]:OfficeForms.Table[[#This Row],[Nombre1]],CPS!A62:B67,2,FALSE))</f>
        <v/>
      </c>
      <c r="D71" s="111">
        <f>IF(OfficeForms.Table[[#This Row],[Nombre1]]="","",VLOOKUP(OfficeForms.Table[[#This Row],[Nombre1]]:OfficeForms.Table[[#This Row],[Nombre1]],CPS!A64:C68,2,FALSE))</f>
        <v/>
      </c>
      <c r="E71" s="55" t="n"/>
      <c r="F71" s="112" t="n"/>
      <c r="G71" s="113" t="n"/>
      <c r="H71" s="114" t="n"/>
      <c r="I71" s="40" t="n"/>
      <c r="J71" s="114" t="n"/>
      <c r="K71" s="113" t="n"/>
      <c r="L71" s="113" t="n"/>
      <c r="M71" s="113" t="n"/>
      <c r="N71" s="113" t="n"/>
      <c r="O71" s="114" t="n"/>
      <c r="P71" s="115" t="n"/>
      <c r="Q71" s="120" t="n"/>
      <c r="R71" s="120" t="n"/>
      <c r="S71" s="120" t="n"/>
      <c r="T71" s="115" t="n"/>
      <c r="U71" s="115" t="n"/>
      <c r="V71" s="115" t="n"/>
      <c r="W71" s="115" t="n"/>
      <c r="X71" s="115" t="n"/>
      <c r="Y71" s="30" t="n"/>
      <c r="Z71" s="30" t="n"/>
      <c r="AA71" s="30" t="n"/>
    </row>
    <row r="72">
      <c r="A72" s="22" t="inlineStr">
        <is>
          <t>S-69</t>
        </is>
      </c>
      <c r="B72" s="110" t="n"/>
      <c r="C72" s="64">
        <f>IF(OfficeForms.Table[[#This Row],[Nombre1]]="","",VLOOKUP(OfficeForms.Table[[#This Row],[Nombre1]]:OfficeForms.Table[[#This Row],[Nombre1]],CPS!A60:B65,2,FALSE))</f>
        <v/>
      </c>
      <c r="D72" s="111">
        <f>IF(OfficeForms.Table[[#This Row],[Nombre1]]="","",VLOOKUP(OfficeForms.Table[[#This Row],[Nombre1]]:OfficeForms.Table[[#This Row],[Nombre1]],CPS!A62:C66,2,FALSE))</f>
        <v/>
      </c>
      <c r="E72" s="55" t="n"/>
      <c r="F72" s="112" t="n"/>
      <c r="G72" s="113" t="n"/>
      <c r="H72" s="114" t="n"/>
      <c r="I72" s="40" t="n"/>
      <c r="J72" s="114" t="n"/>
      <c r="K72" s="113" t="n"/>
      <c r="L72" s="113" t="n"/>
      <c r="M72" s="113" t="n"/>
      <c r="N72" s="113" t="n"/>
      <c r="O72" s="114" t="n"/>
      <c r="P72" s="115" t="n"/>
      <c r="Q72" s="120" t="n"/>
      <c r="R72" s="120" t="n"/>
      <c r="S72" s="120" t="n"/>
      <c r="T72" s="115" t="n"/>
      <c r="U72" s="115" t="n"/>
      <c r="V72" s="115" t="n"/>
      <c r="W72" s="115" t="n"/>
      <c r="X72" s="115" t="n"/>
      <c r="Y72" s="30" t="n"/>
      <c r="Z72" s="30" t="n"/>
      <c r="AA72" s="30" t="n"/>
    </row>
    <row r="73" customFormat="1" s="28">
      <c r="A73" s="22" t="inlineStr">
        <is>
          <t>S-70</t>
        </is>
      </c>
      <c r="B73" s="48" t="n"/>
      <c r="C73" s="65" t="n"/>
      <c r="D73" s="48" t="n"/>
      <c r="E73" s="49" t="n"/>
      <c r="F73" s="50" t="n"/>
      <c r="G73" s="60" t="n"/>
      <c r="H73" s="60" t="n"/>
      <c r="I73" s="61" t="n"/>
      <c r="J73" s="60" t="n"/>
      <c r="K73" s="60" t="n"/>
      <c r="L73" s="60" t="n"/>
      <c r="M73" s="60" t="n"/>
      <c r="N73" s="60" t="n"/>
      <c r="O73" s="60" t="n"/>
      <c r="P73" s="59" t="n"/>
      <c r="Q73" s="62" t="n"/>
      <c r="R73" s="62" t="n"/>
      <c r="S73" s="62" t="n"/>
      <c r="T73" s="59" t="n"/>
      <c r="U73" s="59" t="n"/>
      <c r="V73" s="59" t="n"/>
      <c r="W73" s="59" t="n"/>
      <c r="X73" s="59" t="n"/>
      <c r="Y73" s="59" t="n"/>
      <c r="Z73" s="59" t="n"/>
      <c r="AA73" s="59" t="n"/>
    </row>
    <row r="74">
      <c r="A74" s="22" t="inlineStr">
        <is>
          <t>S-71</t>
        </is>
      </c>
      <c r="B74" s="48" t="n"/>
      <c r="C74" s="65" t="n"/>
      <c r="D74" s="48" t="n"/>
      <c r="E74" s="49" t="n"/>
      <c r="F74" s="50" t="n"/>
      <c r="G74" s="60" t="n"/>
      <c r="H74" s="60" t="n"/>
      <c r="I74" s="61" t="n"/>
      <c r="J74" s="60" t="n"/>
      <c r="K74" s="60" t="n"/>
      <c r="L74" s="60" t="n"/>
      <c r="M74" s="60" t="n"/>
      <c r="N74" s="60" t="n"/>
      <c r="O74" s="60" t="n"/>
      <c r="P74" s="59" t="n"/>
      <c r="Q74" s="62" t="n"/>
      <c r="R74" s="62" t="n"/>
      <c r="S74" s="62" t="n"/>
      <c r="T74" s="59" t="n"/>
      <c r="U74" s="59" t="n"/>
      <c r="V74" s="59" t="n"/>
      <c r="W74" s="59" t="n"/>
      <c r="X74" s="59" t="n"/>
      <c r="Y74" s="59" t="n"/>
      <c r="Z74" s="59" t="n"/>
      <c r="AA74" s="59" t="n"/>
    </row>
    <row r="75">
      <c r="A75" s="22" t="inlineStr">
        <is>
          <t>S-72</t>
        </is>
      </c>
      <c r="B75" s="48" t="n"/>
      <c r="C75" s="65" t="n"/>
      <c r="D75" s="48" t="n"/>
      <c r="E75" s="49" t="n"/>
      <c r="F75" s="50" t="n"/>
      <c r="G75" s="60" t="n"/>
      <c r="H75" s="60" t="n"/>
      <c r="I75" s="61" t="n"/>
      <c r="J75" s="60" t="n"/>
      <c r="K75" s="60" t="n"/>
      <c r="L75" s="60" t="n"/>
      <c r="M75" s="60" t="n"/>
      <c r="N75" s="60" t="n"/>
      <c r="O75" s="60" t="n"/>
      <c r="P75" s="59" t="n"/>
      <c r="Q75" s="62" t="n"/>
      <c r="R75" s="62" t="n"/>
      <c r="S75" s="62" t="n"/>
      <c r="T75" s="59" t="n"/>
      <c r="U75" s="59" t="n"/>
      <c r="V75" s="59" t="n"/>
      <c r="W75" s="59" t="n"/>
      <c r="X75" s="59" t="n"/>
      <c r="Y75" s="59" t="n"/>
      <c r="Z75" s="59" t="n"/>
      <c r="AA75" s="59" t="n"/>
    </row>
    <row r="76" ht="30" customHeight="1" s="157">
      <c r="A76" s="22" t="inlineStr">
        <is>
          <t>S-73</t>
        </is>
      </c>
      <c r="B76" s="66" t="inlineStr">
        <is>
          <t>Magda Julieth Morenlo Torres</t>
        </is>
      </c>
      <c r="C76" s="67" t="n">
        <v>20202007046</v>
      </c>
      <c r="D76" s="66" t="inlineStr">
        <is>
          <t>MIC</t>
        </is>
      </c>
      <c r="E76" s="68" t="n">
        <v>46274</v>
      </c>
      <c r="F76" s="69" t="n">
        <v>0.5833333333333334</v>
      </c>
      <c r="G76" s="70" t="inlineStr">
        <is>
          <t>MODULO RESISTIVO</t>
        </is>
      </c>
      <c r="H76" s="71" t="inlineStr">
        <is>
          <t>LD</t>
        </is>
      </c>
      <c r="I76" s="72" t="n"/>
      <c r="J76" s="71" t="inlineStr">
        <is>
          <t>MA88</t>
        </is>
      </c>
      <c r="K76" s="71" t="inlineStr">
        <is>
          <t>MAQUINAS A</t>
        </is>
      </c>
      <c r="L76" s="71" t="inlineStr">
        <is>
          <t>CIRCUITOS II</t>
        </is>
      </c>
      <c r="M76" s="71" t="inlineStr">
        <is>
          <t>5</t>
        </is>
      </c>
      <c r="N76" s="71" t="inlineStr">
        <is>
          <t>Durante la practica estudiantes quemaron el equipo.</t>
        </is>
      </c>
      <c r="O76" s="71" t="n"/>
      <c r="P76" s="71" t="inlineStr">
        <is>
          <t>Nelson G</t>
        </is>
      </c>
      <c r="Q76" s="73" t="n">
        <v>46276</v>
      </c>
      <c r="R76" s="73" t="inlineStr">
        <is>
          <t>Contratistas laboratorios de IEE</t>
        </is>
      </c>
      <c r="S76" s="73" t="inlineStr">
        <is>
          <t>N.A</t>
        </is>
      </c>
      <c r="T76" s="71" t="inlineStr">
        <is>
          <t>Daño por uso inadecuado.</t>
        </is>
      </c>
      <c r="U76" s="71" t="inlineStr">
        <is>
          <t>Revision y cambio de 4 resistencias de potencias de 100 ohms a 50W.</t>
        </is>
      </c>
      <c r="V76" s="71" t="inlineStr">
        <is>
          <t>Operativo</t>
        </is>
      </c>
      <c r="W76" s="71" t="n"/>
      <c r="X76" s="71" t="n"/>
      <c r="Y76" s="71" t="inlineStr">
        <is>
          <t>Finalizada</t>
        </is>
      </c>
      <c r="Z76" s="71" t="n"/>
      <c r="AA76" s="71" t="inlineStr">
        <is>
          <t>Monitor</t>
        </is>
      </c>
    </row>
    <row r="77" ht="45" customHeight="1" s="157">
      <c r="A77" s="22" t="inlineStr">
        <is>
          <t>S-74</t>
        </is>
      </c>
      <c r="B77" s="74" t="inlineStr">
        <is>
          <t>Fernando Andres Rojas Fernandez</t>
        </is>
      </c>
      <c r="C77" s="75" t="n">
        <v>20231005018</v>
      </c>
      <c r="D77" s="74" t="inlineStr">
        <is>
          <t>MIC</t>
        </is>
      </c>
      <c r="E77" s="76" t="n">
        <v>46243</v>
      </c>
      <c r="F77" s="77" t="n">
        <v>0.3319444444444444</v>
      </c>
      <c r="G77" s="78" t="inlineStr">
        <is>
          <t>MODULO RESISTIVO</t>
        </is>
      </c>
      <c r="H77" s="79" t="inlineStr">
        <is>
          <t>LD</t>
        </is>
      </c>
      <c r="I77" s="80" t="n"/>
      <c r="J77" s="79" t="inlineStr">
        <is>
          <t>A185</t>
        </is>
      </c>
      <c r="K77" s="79" t="inlineStr">
        <is>
          <t>MAQUINAS A</t>
        </is>
      </c>
      <c r="L77" s="79" t="inlineStr">
        <is>
          <t>ELECTRONICA DE POTENCIA</t>
        </is>
      </c>
      <c r="M77" s="79" t="inlineStr">
        <is>
          <t>4</t>
        </is>
      </c>
      <c r="N77" s="79" t="inlineStr">
        <is>
          <t>Daño bobina interna.</t>
        </is>
      </c>
      <c r="O77" s="79" t="n"/>
      <c r="P77" s="79" t="inlineStr">
        <is>
          <t>Nelson G</t>
        </is>
      </c>
      <c r="Q77" s="81" t="n">
        <v>46274</v>
      </c>
      <c r="R77" s="81" t="inlineStr">
        <is>
          <t>Contratistas laboratorios de IEE</t>
        </is>
      </c>
      <c r="S77" s="81" t="inlineStr">
        <is>
          <t>N.A</t>
        </is>
      </c>
      <c r="T77" s="79" t="inlineStr">
        <is>
          <t>Bobinado quemado por corto circuito o sobre corriente.</t>
        </is>
      </c>
      <c r="U77" s="79" t="inlineStr">
        <is>
          <t>Se hace reáracion del bobinado con la novedad que se pierde 30 ohm en la resistencia.</t>
        </is>
      </c>
      <c r="V77" s="71" t="inlineStr">
        <is>
          <t>Operativo</t>
        </is>
      </c>
      <c r="W77" s="79" t="n"/>
      <c r="X77" s="79" t="n"/>
      <c r="Y77" s="79" t="inlineStr">
        <is>
          <t>Finalizada</t>
        </is>
      </c>
      <c r="Z77" s="79" t="n"/>
      <c r="AA77" s="79" t="inlineStr">
        <is>
          <t>Monitor</t>
        </is>
      </c>
    </row>
    <row r="78" ht="45" customHeight="1" s="157">
      <c r="A78" s="22" t="inlineStr">
        <is>
          <t>S-75</t>
        </is>
      </c>
      <c r="B78" s="74" t="inlineStr">
        <is>
          <t>Deiver Arley Niño Roa</t>
        </is>
      </c>
      <c r="C78" s="75" t="n">
        <v>20212005155</v>
      </c>
      <c r="D78" s="74" t="inlineStr">
        <is>
          <t>MIC</t>
        </is>
      </c>
      <c r="E78" s="76" t="n">
        <v>46267</v>
      </c>
      <c r="F78" s="77" t="n">
        <v>0.44375</v>
      </c>
      <c r="G78" s="78" t="inlineStr">
        <is>
          <t>MEDIDOR DE AMBIENTE</t>
        </is>
      </c>
      <c r="H78" s="79" t="inlineStr">
        <is>
          <t>PEAKTECH</t>
        </is>
      </c>
      <c r="I78" s="80" t="n"/>
      <c r="J78" s="79" t="inlineStr">
        <is>
          <t>A58</t>
        </is>
      </c>
      <c r="K78" s="82" t="inlineStr">
        <is>
          <t>CIRCUITOS A</t>
        </is>
      </c>
      <c r="L78" s="79" t="inlineStr">
        <is>
          <t>ADICIONAL</t>
        </is>
      </c>
      <c r="M78" s="79" t="inlineStr">
        <is>
          <t>5</t>
        </is>
      </c>
      <c r="N78" s="79" t="inlineStr">
        <is>
          <t>En el medidor de ambiente, el cable del luxometro no realiza buen contacto.</t>
        </is>
      </c>
      <c r="O78" s="79" t="n"/>
      <c r="P78" s="79" t="inlineStr">
        <is>
          <t>Nelson G</t>
        </is>
      </c>
      <c r="Q78" s="81" t="n">
        <v>46273</v>
      </c>
      <c r="R78" s="81" t="inlineStr">
        <is>
          <t>Contratistas laboratorios de IEE</t>
        </is>
      </c>
      <c r="S78" s="81" t="inlineStr">
        <is>
          <t>N.A</t>
        </is>
      </c>
      <c r="T78" s="79" t="inlineStr">
        <is>
          <t>Cable de sensor abierto.</t>
        </is>
      </c>
      <c r="U78" s="79" t="inlineStr">
        <is>
          <t>Se hace la reconexion del cable al sensor.</t>
        </is>
      </c>
      <c r="V78" s="71" t="inlineStr">
        <is>
          <t>Operativo</t>
        </is>
      </c>
      <c r="W78" s="79" t="n"/>
      <c r="X78" s="79" t="n"/>
      <c r="Y78" s="79" t="inlineStr">
        <is>
          <t>Finalizada</t>
        </is>
      </c>
      <c r="Z78" s="79" t="n"/>
      <c r="AA78" s="79" t="inlineStr">
        <is>
          <t>Monitor</t>
        </is>
      </c>
    </row>
    <row r="79" ht="30" customHeight="1" s="157">
      <c r="A79" s="22" t="inlineStr">
        <is>
          <t>S-76</t>
        </is>
      </c>
      <c r="B79" s="83" t="inlineStr">
        <is>
          <t>Erick Santiago Duran Simijaca</t>
        </is>
      </c>
      <c r="C79" s="75" t="n">
        <v>20232005109</v>
      </c>
      <c r="D79" s="83" t="inlineStr">
        <is>
          <t>MIC</t>
        </is>
      </c>
      <c r="E79" s="84" t="n">
        <v>46273</v>
      </c>
      <c r="F79" s="85" t="n">
        <v>0.5833333333333334</v>
      </c>
      <c r="G79" s="86" t="inlineStr">
        <is>
          <t>MULTIMETRO DIGITAL</t>
        </is>
      </c>
      <c r="H79" s="87" t="inlineStr">
        <is>
          <t>ERASMUS</t>
        </is>
      </c>
      <c r="I79" s="88" t="n"/>
      <c r="J79" s="100" t="inlineStr">
        <is>
          <t>009</t>
        </is>
      </c>
      <c r="K79" s="82" t="inlineStr">
        <is>
          <t>CIRCUITOS A</t>
        </is>
      </c>
      <c r="L79" s="87" t="inlineStr">
        <is>
          <t>CIRCUITOS I</t>
        </is>
      </c>
      <c r="M79" s="87" t="inlineStr">
        <is>
          <t>8</t>
        </is>
      </c>
      <c r="N79" s="87" t="inlineStr">
        <is>
          <t>No mide correctamente mA y uA; Se cambia por multimetro 03.</t>
        </is>
      </c>
      <c r="O79" s="87" t="n"/>
      <c r="P79" s="87" t="inlineStr">
        <is>
          <t>Nelson G</t>
        </is>
      </c>
      <c r="Q79" s="89" t="n">
        <v>46273</v>
      </c>
      <c r="R79" s="89" t="inlineStr">
        <is>
          <t>Contratistas laboratorios de IEE</t>
        </is>
      </c>
      <c r="S79" s="89" t="inlineStr">
        <is>
          <t>N.A</t>
        </is>
      </c>
      <c r="T79" s="87" t="inlineStr">
        <is>
          <t>Circuito de puente de diodos quemados por mal uso.</t>
        </is>
      </c>
      <c r="U79" s="87" t="inlineStr">
        <is>
          <t>Remplazo de 3 diodos IN4007 y un diodo INI5342B.</t>
        </is>
      </c>
      <c r="V79" s="90" t="inlineStr">
        <is>
          <t>Operativo</t>
        </is>
      </c>
      <c r="W79" s="87" t="n"/>
      <c r="X79" s="87" t="n"/>
      <c r="Y79" s="87" t="inlineStr">
        <is>
          <t>Finalizada</t>
        </is>
      </c>
      <c r="Z79" s="87" t="n"/>
      <c r="AA79" s="87" t="inlineStr">
        <is>
          <t>Monitor</t>
        </is>
      </c>
    </row>
    <row r="80" ht="60" customHeight="1" s="157">
      <c r="A80" s="22" t="inlineStr">
        <is>
          <t>S-77</t>
        </is>
      </c>
      <c r="B80" s="83" t="inlineStr">
        <is>
          <t>Cristian Camilo Diaz Lagos</t>
        </is>
      </c>
      <c r="C80" s="75" t="n">
        <v>20202005134</v>
      </c>
      <c r="D80" s="83" t="inlineStr">
        <is>
          <t>MIC</t>
        </is>
      </c>
      <c r="E80" s="84" t="n">
        <v>46254</v>
      </c>
      <c r="F80" s="85" t="n"/>
      <c r="G80" s="86" t="inlineStr">
        <is>
          <t>FUENTE DC</t>
        </is>
      </c>
      <c r="H80" s="87" t="inlineStr">
        <is>
          <t>PEAKTECH</t>
        </is>
      </c>
      <c r="I80" s="88" t="n"/>
      <c r="J80" s="87" t="inlineStr">
        <is>
          <t>CD33</t>
        </is>
      </c>
      <c r="K80" s="82" t="inlineStr">
        <is>
          <t>CIRCUITOS A</t>
        </is>
      </c>
      <c r="L80" s="87" t="inlineStr">
        <is>
          <t>CIRCUITOS II</t>
        </is>
      </c>
      <c r="M80" s="87" t="inlineStr">
        <is>
          <t>9</t>
        </is>
      </c>
      <c r="N80" s="87" t="inlineStr">
        <is>
          <t>Al conectar a la tomacorriente solto chispas, y solo quedo sirviendo una de las salidas de voltaje.</t>
        </is>
      </c>
      <c r="O80" s="87" t="n"/>
      <c r="P80" s="87" t="inlineStr">
        <is>
          <t>Nelson G</t>
        </is>
      </c>
      <c r="Q80" s="89" t="n">
        <v>46258</v>
      </c>
      <c r="R80" s="89" t="inlineStr">
        <is>
          <t>Contratistas laboratorios de IEE</t>
        </is>
      </c>
      <c r="S80" s="89" t="inlineStr">
        <is>
          <t>N.A</t>
        </is>
      </c>
      <c r="T80" s="87" t="inlineStr">
        <is>
          <t>Corto circuito.</t>
        </is>
      </c>
      <c r="U80" s="87" t="inlineStr">
        <is>
          <t>Remplazo transistor 2N3055, 2 elementros resistivos y 1 potenciometro de 6 kilo ohmios.</t>
        </is>
      </c>
      <c r="V80" s="90" t="inlineStr">
        <is>
          <t>Operativo</t>
        </is>
      </c>
      <c r="W80" s="87" t="n"/>
      <c r="X80" s="87" t="n"/>
      <c r="Y80" s="87" t="inlineStr">
        <is>
          <t>Finalizada</t>
        </is>
      </c>
      <c r="Z80" s="87" t="n"/>
      <c r="AA80" s="87" t="inlineStr">
        <is>
          <t>Monitor</t>
        </is>
      </c>
    </row>
    <row r="81" ht="30" customHeight="1" s="157">
      <c r="A81" s="22" t="inlineStr">
        <is>
          <t>S-78</t>
        </is>
      </c>
      <c r="B81" s="83" t="inlineStr">
        <is>
          <t>Deiver Arley Niño Roa</t>
        </is>
      </c>
      <c r="C81" s="75" t="n">
        <v>20212005155</v>
      </c>
      <c r="D81" s="83" t="inlineStr">
        <is>
          <t>MIC</t>
        </is>
      </c>
      <c r="E81" s="84" t="n">
        <v>46260</v>
      </c>
      <c r="F81" s="85" t="n">
        <v>0.3777777777777778</v>
      </c>
      <c r="G81" s="86" t="inlineStr">
        <is>
          <t>MULTIMETRO PRECISION</t>
        </is>
      </c>
      <c r="H81" s="87" t="inlineStr">
        <is>
          <t>RIGOL</t>
        </is>
      </c>
      <c r="I81" s="88" t="n"/>
      <c r="J81" s="87" t="inlineStr">
        <is>
          <t>A296</t>
        </is>
      </c>
      <c r="K81" s="82" t="inlineStr">
        <is>
          <t>ELECTRONICA A</t>
        </is>
      </c>
      <c r="L81" s="87" t="inlineStr">
        <is>
          <t>INSTRUMENTACION INDUSTRIAL</t>
        </is>
      </c>
      <c r="M81" s="87" t="inlineStr">
        <is>
          <t>3</t>
        </is>
      </c>
      <c r="N81" s="87" t="inlineStr">
        <is>
          <t>No mide corriente mA.</t>
        </is>
      </c>
      <c r="O81" s="87" t="n"/>
      <c r="P81" s="87" t="inlineStr">
        <is>
          <t>Nelson G</t>
        </is>
      </c>
      <c r="Q81" s="89" t="n">
        <v>46262</v>
      </c>
      <c r="R81" s="89" t="inlineStr">
        <is>
          <t>Contratistas laboratorios de IEE</t>
        </is>
      </c>
      <c r="S81" s="89" t="inlineStr">
        <is>
          <t>N.A</t>
        </is>
      </c>
      <c r="T81" s="87" t="inlineStr">
        <is>
          <t>Fusible quemado por sobrecorriente en el circuito.</t>
        </is>
      </c>
      <c r="U81" s="87" t="inlineStr">
        <is>
          <t>Se reemplaza fusible de 0.5A generico de porcelana.</t>
        </is>
      </c>
      <c r="V81" s="90" t="inlineStr">
        <is>
          <t>Operativo</t>
        </is>
      </c>
      <c r="W81" s="87" t="n"/>
      <c r="X81" s="87" t="n"/>
      <c r="Y81" s="87" t="inlineStr">
        <is>
          <t>Finalizada</t>
        </is>
      </c>
      <c r="Z81" s="87" t="n"/>
      <c r="AA81" s="87" t="inlineStr">
        <is>
          <t>Monitor</t>
        </is>
      </c>
    </row>
    <row r="82" ht="30" customHeight="1" s="157">
      <c r="A82" s="22" t="inlineStr">
        <is>
          <t>S-79</t>
        </is>
      </c>
      <c r="B82" s="83" t="inlineStr">
        <is>
          <t>Erick Santiago Duran Simijaca</t>
        </is>
      </c>
      <c r="C82" s="75" t="n">
        <v>20232005109</v>
      </c>
      <c r="D82" s="83" t="inlineStr">
        <is>
          <t>MIC</t>
        </is>
      </c>
      <c r="E82" s="84" t="n">
        <v>46171</v>
      </c>
      <c r="F82" s="85" t="n">
        <v>0.25</v>
      </c>
      <c r="G82" s="86" t="inlineStr">
        <is>
          <t>OSCILOSCOPIO DIGITAL</t>
        </is>
      </c>
      <c r="H82" s="87" t="inlineStr">
        <is>
          <t>RIGOL</t>
        </is>
      </c>
      <c r="I82" s="88" t="n"/>
      <c r="J82" s="100" t="inlineStr">
        <is>
          <t>1</t>
        </is>
      </c>
      <c r="K82" s="87" t="inlineStr">
        <is>
          <t>MAQUINAS A</t>
        </is>
      </c>
      <c r="L82" s="87" t="inlineStr">
        <is>
          <t>ADICIONAL</t>
        </is>
      </c>
      <c r="M82" s="87" t="inlineStr">
        <is>
          <t>1</t>
        </is>
      </c>
      <c r="N82" s="87" t="inlineStr">
        <is>
          <t>Presunto daño en boton de encendido.</t>
        </is>
      </c>
      <c r="O82" s="87" t="n"/>
      <c r="P82" s="87" t="inlineStr">
        <is>
          <t>Nelson G</t>
        </is>
      </c>
      <c r="Q82" s="89" t="n">
        <v>46176</v>
      </c>
      <c r="R82" s="89" t="inlineStr">
        <is>
          <t>Contratistas laboratorios de IEE</t>
        </is>
      </c>
      <c r="S82" s="89" t="inlineStr">
        <is>
          <t>N.A</t>
        </is>
      </c>
      <c r="T82" s="87" t="inlineStr">
        <is>
          <t>Daño por uso inadecuado.</t>
        </is>
      </c>
      <c r="U82" s="87" t="inlineStr">
        <is>
          <t>Remplazo de interruptor de encendido.</t>
        </is>
      </c>
      <c r="V82" s="90" t="inlineStr">
        <is>
          <t>Operativo</t>
        </is>
      </c>
      <c r="W82" s="87" t="n"/>
      <c r="X82" s="87" t="n"/>
      <c r="Y82" s="87" t="inlineStr">
        <is>
          <t>Finalizada</t>
        </is>
      </c>
      <c r="Z82" s="87" t="n"/>
      <c r="AA82" s="87" t="inlineStr">
        <is>
          <t>Monitor</t>
        </is>
      </c>
    </row>
    <row r="83" ht="105" customHeight="1" s="157">
      <c r="A83" s="22" t="inlineStr">
        <is>
          <t>S-80</t>
        </is>
      </c>
      <c r="B83" s="83" t="inlineStr">
        <is>
          <t>Miguel Ortega</t>
        </is>
      </c>
      <c r="C83" s="75" t="n">
        <v>20231007009</v>
      </c>
      <c r="D83" s="83" t="inlineStr">
        <is>
          <t>MIC</t>
        </is>
      </c>
      <c r="E83" s="84" t="n">
        <v>46134</v>
      </c>
      <c r="F83" s="85" t="n">
        <v>0.4583333333333333</v>
      </c>
      <c r="G83" s="86" t="inlineStr">
        <is>
          <t>FUENTE DC</t>
        </is>
      </c>
      <c r="H83" s="87" t="inlineStr">
        <is>
          <t>PEAKTECH</t>
        </is>
      </c>
      <c r="I83" s="88" t="n"/>
      <c r="J83" s="87" t="inlineStr">
        <is>
          <t>410420</t>
        </is>
      </c>
      <c r="K83" s="82" t="inlineStr">
        <is>
          <t>ELECTRONICA B</t>
        </is>
      </c>
      <c r="L83" s="87" t="inlineStr">
        <is>
          <t>ADICIONAL</t>
        </is>
      </c>
      <c r="M83" s="87" t="inlineStr">
        <is>
          <t>1</t>
        </is>
      </c>
      <c r="N83" s="87" t="inlineStr">
        <is>
          <t>El canal 1 entra en corto en 15v y en algunos casos la corriente llega a 9A, por lo que no regula bien la corriente. El daño solo esta en algunos momentos, radiador del canal 1 con exceso de temperatura.</t>
        </is>
      </c>
      <c r="O83" s="87" t="n"/>
      <c r="P83" s="87" t="inlineStr">
        <is>
          <t>Nelson G</t>
        </is>
      </c>
      <c r="Q83" s="89" t="n">
        <v>46174</v>
      </c>
      <c r="R83" s="89" t="inlineStr">
        <is>
          <t>Contratistas laboratorios de IEE</t>
        </is>
      </c>
      <c r="S83" s="89" t="inlineStr">
        <is>
          <t>N.A</t>
        </is>
      </c>
      <c r="T83" s="87" t="inlineStr">
        <is>
          <t>Potenciometros de ajuste de corriente de canal 1 dañados.</t>
        </is>
      </c>
      <c r="U83" s="87" t="inlineStr">
        <is>
          <t>Remplazo de 2 potenciometros de 6 y 7 kilo ohmios.</t>
        </is>
      </c>
      <c r="V83" s="90" t="inlineStr">
        <is>
          <t>Operativo</t>
        </is>
      </c>
      <c r="W83" s="87" t="n"/>
      <c r="X83" s="87" t="n"/>
      <c r="Y83" s="87" t="inlineStr">
        <is>
          <t>Finalizada</t>
        </is>
      </c>
      <c r="Z83" s="87" t="n"/>
      <c r="AA83" s="87" t="inlineStr">
        <is>
          <t>Monitor</t>
        </is>
      </c>
    </row>
    <row r="84" ht="30" customHeight="1" s="157">
      <c r="A84" s="22" t="inlineStr">
        <is>
          <t>S-81</t>
        </is>
      </c>
      <c r="B84" s="83" t="inlineStr">
        <is>
          <t>Jeisson Ivan Sanchez Casallas</t>
        </is>
      </c>
      <c r="C84" s="75" t="n">
        <v>20191005115</v>
      </c>
      <c r="D84" s="83" t="inlineStr">
        <is>
          <t>MIC</t>
        </is>
      </c>
      <c r="E84" s="84" t="n">
        <v>45952</v>
      </c>
      <c r="F84" s="85" t="n">
        <v>0.34375</v>
      </c>
      <c r="G84" s="86" t="inlineStr">
        <is>
          <t>LUXOMETRO</t>
        </is>
      </c>
      <c r="H84" s="87" t="inlineStr">
        <is>
          <t>PEAKTECH</t>
        </is>
      </c>
      <c r="I84" s="88" t="n"/>
      <c r="J84" s="100" t="inlineStr">
        <is>
          <t>10</t>
        </is>
      </c>
      <c r="K84" s="82" t="inlineStr">
        <is>
          <t>ELECTRONICA A</t>
        </is>
      </c>
      <c r="L84" s="87" t="inlineStr">
        <is>
          <t>INSTRUMENTACION INDUSTRIAL</t>
        </is>
      </c>
      <c r="M84" s="87" t="inlineStr">
        <is>
          <t>3</t>
        </is>
      </c>
      <c r="N84" s="87" t="inlineStr">
        <is>
          <t>Conector de luxometro dañado.</t>
        </is>
      </c>
      <c r="O84" s="87" t="n"/>
      <c r="P84" s="87" t="inlineStr">
        <is>
          <t>Nelson G</t>
        </is>
      </c>
      <c r="Q84" s="89" t="n">
        <v>46156</v>
      </c>
      <c r="R84" s="89" t="inlineStr">
        <is>
          <t>Contratistas laboratorios de IEE</t>
        </is>
      </c>
      <c r="S84" s="89" t="inlineStr">
        <is>
          <t>N.A</t>
        </is>
      </c>
      <c r="T84" s="87" t="inlineStr">
        <is>
          <t>Daño por uso.</t>
        </is>
      </c>
      <c r="U84" s="87" t="inlineStr">
        <is>
          <t>Reparación de puntos de conexión.</t>
        </is>
      </c>
      <c r="V84" s="90" t="inlineStr">
        <is>
          <t>Operativo</t>
        </is>
      </c>
      <c r="W84" s="87" t="n"/>
      <c r="X84" s="87" t="n"/>
      <c r="Y84" s="87" t="inlineStr">
        <is>
          <t>Finalizada</t>
        </is>
      </c>
      <c r="Z84" s="87" t="n"/>
      <c r="AA84" s="87" t="inlineStr">
        <is>
          <t>Monitor</t>
        </is>
      </c>
    </row>
    <row r="85" ht="105" customHeight="1" s="157">
      <c r="A85" s="22" t="inlineStr">
        <is>
          <t>S-82</t>
        </is>
      </c>
      <c r="B85" s="83" t="inlineStr">
        <is>
          <t>Juan Camilo Cañas Tirado</t>
        </is>
      </c>
      <c r="C85" s="75" t="n">
        <v>1005205581</v>
      </c>
      <c r="D85" s="83" t="inlineStr">
        <is>
          <t>MIC</t>
        </is>
      </c>
      <c r="E85" s="84" t="n">
        <v>46155</v>
      </c>
      <c r="F85" s="85" t="n">
        <v>0.4652777777777778</v>
      </c>
      <c r="G85" s="86" t="inlineStr">
        <is>
          <t>FUENTE DC</t>
        </is>
      </c>
      <c r="H85" s="87" t="inlineStr">
        <is>
          <t>PEAKTECH</t>
        </is>
      </c>
      <c r="I85" s="88" t="n"/>
      <c r="J85" s="87" t="inlineStr">
        <is>
          <t>410328</t>
        </is>
      </c>
      <c r="K85" s="82" t="inlineStr">
        <is>
          <t>ELECTRONICA A</t>
        </is>
      </c>
      <c r="L85" s="87" t="inlineStr">
        <is>
          <t>N.A</t>
        </is>
      </c>
      <c r="M85" s="87" t="inlineStr">
        <is>
          <t>10</t>
        </is>
      </c>
      <c r="N85" s="87" t="inlineStr">
        <is>
          <t>Se estaba realizando MIP y se percata que a pesar que la fuente funciona bien, los condensadores del candal de 5V tienen su cubierta estallada (Se cambia por fuente #3).</t>
        </is>
      </c>
      <c r="O85" s="87" t="n"/>
      <c r="P85" s="87" t="inlineStr">
        <is>
          <t>Nelson G</t>
        </is>
      </c>
      <c r="Q85" s="89" t="n">
        <v>46178</v>
      </c>
      <c r="R85" s="89" t="inlineStr">
        <is>
          <t>Contratistas laboratorios de IEE</t>
        </is>
      </c>
      <c r="S85" s="89" t="inlineStr">
        <is>
          <t>N.A</t>
        </is>
      </c>
      <c r="T85" s="87" t="inlineStr">
        <is>
          <t>En el canal de 5V el condensador de 4700uF-16V y 470uF-35v necesitan cambio.</t>
        </is>
      </c>
      <c r="U85" s="87" t="inlineStr">
        <is>
          <t>Remplazo de componentes con falla.</t>
        </is>
      </c>
      <c r="V85" s="90" t="inlineStr">
        <is>
          <t>Operativo</t>
        </is>
      </c>
      <c r="W85" s="87" t="n"/>
      <c r="X85" s="87" t="n"/>
      <c r="Y85" s="87" t="inlineStr">
        <is>
          <t>Finalizada</t>
        </is>
      </c>
      <c r="Z85" s="87" t="n"/>
      <c r="AA85" s="87" t="inlineStr">
        <is>
          <t xml:space="preserve">Tecnico </t>
        </is>
      </c>
    </row>
    <row r="86" ht="45" customHeight="1" s="157">
      <c r="A86" s="22" t="inlineStr">
        <is>
          <t>S-83</t>
        </is>
      </c>
      <c r="B86" s="83" t="inlineStr">
        <is>
          <t>Santiago Ossa Varón</t>
        </is>
      </c>
      <c r="C86" s="75" t="n">
        <v>1016113155</v>
      </c>
      <c r="D86" s="83" t="inlineStr">
        <is>
          <t>MIC</t>
        </is>
      </c>
      <c r="E86" s="84" t="n">
        <v>46157</v>
      </c>
      <c r="F86" s="85" t="n"/>
      <c r="G86" s="86" t="inlineStr">
        <is>
          <t>MULTIMETRO</t>
        </is>
      </c>
      <c r="H86" s="87" t="inlineStr">
        <is>
          <t>ERASMUS</t>
        </is>
      </c>
      <c r="I86" s="88" t="n"/>
      <c r="J86" s="87" t="inlineStr">
        <is>
          <t>067</t>
        </is>
      </c>
      <c r="K86" s="82" t="n">
        <v>509</v>
      </c>
      <c r="L86" s="87" t="inlineStr">
        <is>
          <t>N.A</t>
        </is>
      </c>
      <c r="M86" s="87" t="inlineStr">
        <is>
          <t>5</t>
        </is>
      </c>
      <c r="N86" s="87" t="inlineStr">
        <is>
          <t>Multimetro presenta daño en el diodo (D5). Se manejo con alto voltaje.</t>
        </is>
      </c>
      <c r="O86" s="87" t="n"/>
      <c r="P86" s="87" t="inlineStr">
        <is>
          <t>Nelson G</t>
        </is>
      </c>
      <c r="Q86" s="89" t="n">
        <v>46157</v>
      </c>
      <c r="R86" s="89" t="inlineStr">
        <is>
          <t>Contratistas laboratorios de IEE</t>
        </is>
      </c>
      <c r="S86" s="89" t="inlineStr">
        <is>
          <t>N.A</t>
        </is>
      </c>
      <c r="T86" s="87" t="inlineStr">
        <is>
          <t>Daño de fusible 0.5A.</t>
        </is>
      </c>
      <c r="U86" s="87" t="inlineStr">
        <is>
          <t>Remplazo de fusible y bateria.</t>
        </is>
      </c>
      <c r="V86" s="90" t="inlineStr">
        <is>
          <t>Operativo</t>
        </is>
      </c>
      <c r="W86" s="87" t="n"/>
      <c r="X86" s="87" t="n"/>
      <c r="Y86" s="87" t="inlineStr">
        <is>
          <t>Finalizada</t>
        </is>
      </c>
      <c r="Z86" s="87" t="n"/>
      <c r="AA86" s="87" t="inlineStr">
        <is>
          <t>Monitor</t>
        </is>
      </c>
    </row>
    <row r="87" ht="30" customHeight="1" s="157">
      <c r="A87" s="22" t="inlineStr">
        <is>
          <t>S-84</t>
        </is>
      </c>
      <c r="B87" s="83" t="inlineStr">
        <is>
          <t>Joan Manuel Acosta Garcia</t>
        </is>
      </c>
      <c r="C87" s="75" t="n">
        <v>20221005129</v>
      </c>
      <c r="D87" s="83" t="inlineStr">
        <is>
          <t>MIC</t>
        </is>
      </c>
      <c r="E87" s="84" t="n">
        <v>46139</v>
      </c>
      <c r="F87" s="85" t="n">
        <v>0.3888888888888889</v>
      </c>
      <c r="G87" s="86" t="inlineStr">
        <is>
          <t>MULTIMETRO PRECISION</t>
        </is>
      </c>
      <c r="H87" s="87" t="inlineStr">
        <is>
          <t>RIGOL</t>
        </is>
      </c>
      <c r="I87" s="88" t="n"/>
      <c r="J87" s="87" t="inlineStr">
        <is>
          <t>A291</t>
        </is>
      </c>
      <c r="K87" s="87" t="inlineStr">
        <is>
          <t>ALMACEN</t>
        </is>
      </c>
      <c r="L87" s="87" t="inlineStr">
        <is>
          <t>N.A</t>
        </is>
      </c>
      <c r="M87" s="87" t="inlineStr">
        <is>
          <t>N.A</t>
        </is>
      </c>
      <c r="N87" s="87" t="inlineStr">
        <is>
          <t>No mide en escala de uA y mA.</t>
        </is>
      </c>
      <c r="O87" s="87" t="n"/>
      <c r="P87" s="87" t="inlineStr">
        <is>
          <t>Nelson G</t>
        </is>
      </c>
      <c r="Q87" s="89" t="n">
        <v>46139</v>
      </c>
      <c r="R87" s="89" t="inlineStr">
        <is>
          <t>Contratistas laboratorios de IEE</t>
        </is>
      </c>
      <c r="S87" s="89" t="inlineStr">
        <is>
          <t>N.A</t>
        </is>
      </c>
      <c r="T87" s="87" t="inlineStr">
        <is>
          <t>Daño por corto circuito y sobre corriente.</t>
        </is>
      </c>
      <c r="U87" s="87" t="inlineStr">
        <is>
          <t>Cambio de 2 fusibles de 500mA y 10A.</t>
        </is>
      </c>
      <c r="V87" s="90" t="inlineStr">
        <is>
          <t>Operativo</t>
        </is>
      </c>
      <c r="W87" s="87" t="n"/>
      <c r="X87" s="87" t="n"/>
      <c r="Y87" s="87" t="inlineStr">
        <is>
          <t>Finalizada</t>
        </is>
      </c>
      <c r="Z87" s="87" t="n"/>
      <c r="AA87" s="87" t="inlineStr">
        <is>
          <t>Monitor</t>
        </is>
      </c>
    </row>
    <row r="88" ht="45" customHeight="1" s="157">
      <c r="A88" s="22" t="inlineStr">
        <is>
          <t>S-85</t>
        </is>
      </c>
      <c r="B88" s="83" t="inlineStr">
        <is>
          <t>Yerson Stiven Rodriguez Torres</t>
        </is>
      </c>
      <c r="C88" s="75" t="n">
        <v>20221007019</v>
      </c>
      <c r="D88" s="83" t="inlineStr">
        <is>
          <t>MIC</t>
        </is>
      </c>
      <c r="E88" s="84" t="n">
        <v>46249</v>
      </c>
      <c r="F88" s="85" t="n">
        <v>0.5</v>
      </c>
      <c r="G88" s="86" t="inlineStr">
        <is>
          <t>OSCILOSCOPIO</t>
        </is>
      </c>
      <c r="H88" s="87" t="inlineStr">
        <is>
          <t>RIGOL</t>
        </is>
      </c>
      <c r="I88" s="88" t="n"/>
      <c r="J88" s="100" t="n"/>
      <c r="K88" s="87" t="inlineStr">
        <is>
          <t>MAQUINAS B</t>
        </is>
      </c>
      <c r="L88" s="87" t="inlineStr">
        <is>
          <t>ADICIONAL</t>
        </is>
      </c>
      <c r="M88" s="87" t="inlineStr">
        <is>
          <t>2</t>
        </is>
      </c>
      <c r="N88" s="87" t="inlineStr">
        <is>
          <t>Daño en una perilla.</t>
        </is>
      </c>
      <c r="O88" s="87" t="n"/>
      <c r="P88" s="87" t="inlineStr">
        <is>
          <t>Nelson G</t>
        </is>
      </c>
      <c r="Q88" s="89" t="n">
        <v>46253</v>
      </c>
      <c r="R88" s="89" t="inlineStr">
        <is>
          <t>Contratistas laboratorios de IEE</t>
        </is>
      </c>
      <c r="S88" s="89" t="inlineStr">
        <is>
          <t>N.A</t>
        </is>
      </c>
      <c r="T88" s="87" t="inlineStr">
        <is>
          <t>Daño por mal uso enconder rotativo.</t>
        </is>
      </c>
      <c r="U88" s="87" t="inlineStr">
        <is>
          <t>Se remplaza encoder rotativo partido. Se hace limpieza a tarjetas de control y fuente.</t>
        </is>
      </c>
      <c r="V88" s="90" t="inlineStr">
        <is>
          <t>Operativo</t>
        </is>
      </c>
      <c r="W88" s="87" t="n"/>
      <c r="X88" s="87" t="n"/>
      <c r="Y88" s="87" t="inlineStr">
        <is>
          <t>Finalizada</t>
        </is>
      </c>
      <c r="Z88" s="87" t="n"/>
      <c r="AA88" s="87" t="inlineStr">
        <is>
          <t>Monitor</t>
        </is>
      </c>
    </row>
    <row r="89" ht="45" customHeight="1" s="157">
      <c r="A89" s="22" t="inlineStr">
        <is>
          <t>S-86</t>
        </is>
      </c>
      <c r="B89" s="83" t="inlineStr">
        <is>
          <t>NICOLAS VELASQUEZ AMARILLO</t>
        </is>
      </c>
      <c r="C89" s="75" t="n">
        <v>20202005010</v>
      </c>
      <c r="D89" s="83" t="inlineStr">
        <is>
          <t>MIC</t>
        </is>
      </c>
      <c r="E89" s="84" t="n">
        <v>46179</v>
      </c>
      <c r="F89" s="85" t="n">
        <v>0.375</v>
      </c>
      <c r="G89" s="86" t="inlineStr">
        <is>
          <t>FUENTE DC</t>
        </is>
      </c>
      <c r="H89" s="87" t="inlineStr">
        <is>
          <t>PEAKTECH</t>
        </is>
      </c>
      <c r="I89" s="88" t="n"/>
      <c r="J89" s="100" t="inlineStr">
        <is>
          <t>8</t>
        </is>
      </c>
      <c r="K89" s="82" t="inlineStr">
        <is>
          <t>ELECTRONICA A</t>
        </is>
      </c>
      <c r="L89" s="87" t="inlineStr">
        <is>
          <t>ADICIONAL</t>
        </is>
      </c>
      <c r="M89" s="87" t="inlineStr">
        <is>
          <t>3</t>
        </is>
      </c>
      <c r="N89" s="87" t="inlineStr">
        <is>
          <t>En el segundo canal se evidencio daño marcando 53V ya que está en corto.</t>
        </is>
      </c>
      <c r="O89" s="87" t="n"/>
      <c r="P89" s="87" t="inlineStr">
        <is>
          <t>Nelson G</t>
        </is>
      </c>
      <c r="Q89" s="89" t="n">
        <v>46245</v>
      </c>
      <c r="R89" s="89" t="inlineStr">
        <is>
          <t>Contratistas laboratorios de IEE</t>
        </is>
      </c>
      <c r="S89" s="89" t="inlineStr">
        <is>
          <t>N.A</t>
        </is>
      </c>
      <c r="T89" s="87" t="inlineStr">
        <is>
          <t>Sobrecorriente por tiempo prolongado.</t>
        </is>
      </c>
      <c r="U89" s="87" t="inlineStr">
        <is>
          <t>Cambio transistor de potencia 2N3055 y 2 elementos resistivos.</t>
        </is>
      </c>
      <c r="V89" s="90" t="inlineStr">
        <is>
          <t>Operativo</t>
        </is>
      </c>
      <c r="W89" s="87" t="n"/>
      <c r="X89" s="87" t="n"/>
      <c r="Y89" s="87" t="inlineStr">
        <is>
          <t>Finalizada</t>
        </is>
      </c>
      <c r="Z89" s="87" t="n"/>
      <c r="AA89" s="87" t="inlineStr">
        <is>
          <t>Monitor</t>
        </is>
      </c>
    </row>
    <row r="90" ht="30" customHeight="1" s="157">
      <c r="A90" s="22" t="inlineStr">
        <is>
          <t>S-87</t>
        </is>
      </c>
      <c r="B90" s="83" t="inlineStr">
        <is>
          <t>Jeison Duvan Baquero Bello</t>
        </is>
      </c>
      <c r="C90" s="75" t="n">
        <v>1016593511</v>
      </c>
      <c r="D90" s="83" t="inlineStr">
        <is>
          <t>MIC</t>
        </is>
      </c>
      <c r="E90" s="84" t="n">
        <v>45559</v>
      </c>
      <c r="F90" s="92" t="n">
        <v>0.4166666666666667</v>
      </c>
      <c r="G90" s="86" t="inlineStr">
        <is>
          <t>MULTIMETRO</t>
        </is>
      </c>
      <c r="H90" s="87" t="inlineStr">
        <is>
          <t>ERASMUS</t>
        </is>
      </c>
      <c r="I90" s="88" t="n"/>
      <c r="J90" s="102" t="inlineStr">
        <is>
          <t>19</t>
        </is>
      </c>
      <c r="K90" s="82" t="inlineStr">
        <is>
          <t>ELECTRONICA B</t>
        </is>
      </c>
      <c r="L90" s="87" t="inlineStr">
        <is>
          <t>ADICIONAL</t>
        </is>
      </c>
      <c r="M90" s="96" t="inlineStr">
        <is>
          <t>2</t>
        </is>
      </c>
      <c r="N90" s="87" t="inlineStr">
        <is>
          <t>Multimetro no enciende.</t>
        </is>
      </c>
      <c r="O90" s="87" t="n"/>
      <c r="P90" s="87" t="inlineStr">
        <is>
          <t>Michael</t>
        </is>
      </c>
      <c r="Q90" s="89" t="n">
        <v>45533</v>
      </c>
      <c r="R90" s="89" t="inlineStr">
        <is>
          <t>Contratistas laboratorios de IEE</t>
        </is>
      </c>
      <c r="S90" s="89" t="inlineStr">
        <is>
          <t>N.A</t>
        </is>
      </c>
      <c r="T90" s="87" t="inlineStr">
        <is>
          <t>Se encuentra multimetro con bateria descargada.</t>
        </is>
      </c>
      <c r="U90" s="87" t="inlineStr">
        <is>
          <t>Se cambia bateria 9V y se deja funcionando.</t>
        </is>
      </c>
      <c r="V90" s="90" t="inlineStr">
        <is>
          <t>Operativo</t>
        </is>
      </c>
      <c r="W90" s="87" t="n"/>
      <c r="X90" s="87" t="n"/>
      <c r="Y90" s="87" t="inlineStr">
        <is>
          <t>Finalizada</t>
        </is>
      </c>
      <c r="Z90" s="87" t="n"/>
      <c r="AA90" s="87" t="inlineStr">
        <is>
          <t>Monitor</t>
        </is>
      </c>
    </row>
    <row r="91" ht="30" customHeight="1" s="157">
      <c r="A91" s="22" t="inlineStr">
        <is>
          <t>S-88</t>
        </is>
      </c>
      <c r="B91" s="83" t="inlineStr">
        <is>
          <t>Alexander Rodriguez</t>
        </is>
      </c>
      <c r="C91" s="75" t="n">
        <v>20181007074</v>
      </c>
      <c r="D91" s="83" t="inlineStr">
        <is>
          <t>MIC</t>
        </is>
      </c>
      <c r="E91" s="84" t="n">
        <v>45350</v>
      </c>
      <c r="F91" s="92" t="n">
        <v>0.5833333333333334</v>
      </c>
      <c r="G91" s="86" t="inlineStr">
        <is>
          <t xml:space="preserve">MULTIMETRO </t>
        </is>
      </c>
      <c r="H91" s="87" t="inlineStr">
        <is>
          <t>ERASMUS</t>
        </is>
      </c>
      <c r="I91" s="88" t="n"/>
      <c r="J91" s="102" t="n"/>
      <c r="K91" s="87" t="inlineStr">
        <is>
          <t>MAQUINAS B</t>
        </is>
      </c>
      <c r="L91" s="87" t="inlineStr">
        <is>
          <t>CIRCUITOS I</t>
        </is>
      </c>
      <c r="M91" s="96" t="inlineStr">
        <is>
          <t>N.A</t>
        </is>
      </c>
      <c r="N91" s="87" t="inlineStr">
        <is>
          <t>Multimetro con fusible dañado.</t>
        </is>
      </c>
      <c r="O91" s="87" t="n"/>
      <c r="P91" s="87" t="inlineStr">
        <is>
          <t>Diego Jimenez</t>
        </is>
      </c>
      <c r="Q91" s="89" t="n">
        <v>45350</v>
      </c>
      <c r="R91" s="89" t="inlineStr">
        <is>
          <t>Contratistas laboratorios de IEE</t>
        </is>
      </c>
      <c r="S91" s="89" t="inlineStr">
        <is>
          <t>N.A</t>
        </is>
      </c>
      <c r="T91" s="87" t="inlineStr">
        <is>
          <t>Se daño el fusible mA.</t>
        </is>
      </c>
      <c r="U91" s="87" t="inlineStr">
        <is>
          <t>Cambio fusible mA.</t>
        </is>
      </c>
      <c r="V91" s="90" t="inlineStr">
        <is>
          <t>Operativo</t>
        </is>
      </c>
      <c r="W91" s="91" t="n"/>
      <c r="X91" s="87" t="n"/>
      <c r="Y91" s="87" t="inlineStr">
        <is>
          <t>Finalizada</t>
        </is>
      </c>
      <c r="Z91" s="87" t="n"/>
      <c r="AA91" s="87" t="inlineStr">
        <is>
          <t>Monitor</t>
        </is>
      </c>
    </row>
    <row r="92" ht="60" customHeight="1" s="157">
      <c r="A92" s="22" t="inlineStr">
        <is>
          <t>S-89</t>
        </is>
      </c>
      <c r="B92" s="83" t="inlineStr">
        <is>
          <t xml:space="preserve">DAVID SANTIAGO CASTELLANOS </t>
        </is>
      </c>
      <c r="C92" s="75" t="n">
        <v>20241007005</v>
      </c>
      <c r="D92" s="83" t="inlineStr">
        <is>
          <t>MIC</t>
        </is>
      </c>
      <c r="E92" s="84" t="n">
        <v>46106</v>
      </c>
      <c r="F92" s="85" t="n">
        <v>0.5416666666666666</v>
      </c>
      <c r="G92" s="86" t="inlineStr">
        <is>
          <t xml:space="preserve">MULTIMETRO </t>
        </is>
      </c>
      <c r="H92" s="87" t="inlineStr">
        <is>
          <t>ERASMUS</t>
        </is>
      </c>
      <c r="I92" s="88" t="n"/>
      <c r="J92" s="102" t="inlineStr">
        <is>
          <t>004</t>
        </is>
      </c>
      <c r="K92" s="82" t="inlineStr">
        <is>
          <t>CIRCUITOS A</t>
        </is>
      </c>
      <c r="L92" s="87" t="inlineStr">
        <is>
          <t>CIRCUITOS I</t>
        </is>
      </c>
      <c r="M92" s="96" t="inlineStr">
        <is>
          <t>1</t>
        </is>
      </c>
      <c r="N92" s="87" t="inlineStr">
        <is>
          <t>Perilla selectora del multimetro dañada.</t>
        </is>
      </c>
      <c r="O92" s="87" t="n"/>
      <c r="P92" s="87" t="inlineStr">
        <is>
          <t>Juan Camilo Cañas</t>
        </is>
      </c>
      <c r="Q92" s="89" t="n">
        <v>46106</v>
      </c>
      <c r="R92" s="89" t="inlineStr">
        <is>
          <t>Contratistas laboratorios de IEE</t>
        </is>
      </c>
      <c r="S92" s="89" t="inlineStr">
        <is>
          <t>N.A</t>
        </is>
      </c>
      <c r="T92" s="87" t="inlineStr">
        <is>
          <t>Daño en perilla.</t>
        </is>
      </c>
      <c r="U92" s="87" t="inlineStr">
        <is>
          <t>Cambio de perilla, se realiza el cambio con uno de los multimetros que se encunetran en proceso para dar de baja (79)</t>
        </is>
      </c>
      <c r="V92" s="90" t="inlineStr">
        <is>
          <t>Operativo</t>
        </is>
      </c>
      <c r="W92" s="87" t="n"/>
      <c r="X92" s="87" t="n"/>
      <c r="Y92" s="87" t="inlineStr">
        <is>
          <t>Finalizada</t>
        </is>
      </c>
      <c r="Z92" s="87" t="n"/>
      <c r="AA92" s="87" t="inlineStr">
        <is>
          <t>Monitor</t>
        </is>
      </c>
    </row>
    <row r="93" ht="60" customHeight="1" s="157">
      <c r="A93" s="22" t="inlineStr">
        <is>
          <t>S-90</t>
        </is>
      </c>
      <c r="B93" s="83" t="inlineStr">
        <is>
          <t>JUAN CAMILO CAÑAS</t>
        </is>
      </c>
      <c r="C93" s="75" t="n">
        <v>20211007095</v>
      </c>
      <c r="D93" s="83" t="inlineStr">
        <is>
          <t>MIC</t>
        </is>
      </c>
      <c r="E93" s="84" t="n">
        <v>46111</v>
      </c>
      <c r="F93" s="85" t="n">
        <v>0.3333333333333333</v>
      </c>
      <c r="G93" s="93" t="inlineStr">
        <is>
          <t>OSCILOSCOPIO</t>
        </is>
      </c>
      <c r="H93" s="91" t="inlineStr">
        <is>
          <t>RIGOL</t>
        </is>
      </c>
      <c r="I93" s="88" t="inlineStr">
        <is>
          <t>PS1AD105201432</t>
        </is>
      </c>
      <c r="J93" s="96" t="n"/>
      <c r="K93" s="82" t="inlineStr">
        <is>
          <t>ELECTRONICA B-603</t>
        </is>
      </c>
      <c r="L93" s="87" t="inlineStr">
        <is>
          <t>N.A</t>
        </is>
      </c>
      <c r="M93" s="96" t="inlineStr">
        <is>
          <t>5</t>
        </is>
      </c>
      <c r="N93" s="91" t="inlineStr">
        <is>
          <t>TIENE UN BOTON DAÑADO MECANICAMENTE (BOTON ENCENDIDO )</t>
        </is>
      </c>
      <c r="O93" s="91" t="n"/>
      <c r="P93" s="87" t="inlineStr">
        <is>
          <t>Juan Camilo Cañas</t>
        </is>
      </c>
      <c r="Q93" s="95" t="n">
        <v>46111</v>
      </c>
      <c r="R93" s="95" t="n"/>
      <c r="S93" s="95" t="n"/>
      <c r="T93" s="91" t="inlineStr">
        <is>
          <t xml:space="preserve">EL MECANISMO DEL INTERRUPTOR DE ENCENDIDO FUFRIO DAÑO A NIVEL MECANICO </t>
        </is>
      </c>
      <c r="U93" s="91" t="inlineStr">
        <is>
          <t>S procedio a cambiar el interruptor por una entrada de un osciloscopio dañado</t>
        </is>
      </c>
      <c r="V93" s="90" t="inlineStr">
        <is>
          <t>Operativo</t>
        </is>
      </c>
      <c r="W93" s="91" t="n"/>
      <c r="X93" s="91" t="n"/>
      <c r="Y93" s="87" t="inlineStr">
        <is>
          <t>Finalizada</t>
        </is>
      </c>
      <c r="Z93" s="87" t="n"/>
      <c r="AA93" s="87" t="inlineStr">
        <is>
          <t xml:space="preserve">Tecnico </t>
        </is>
      </c>
    </row>
    <row r="94" ht="45" customHeight="1" s="157">
      <c r="A94" s="22" t="inlineStr">
        <is>
          <t>S-91</t>
        </is>
      </c>
      <c r="B94" s="83" t="inlineStr">
        <is>
          <t xml:space="preserve">KAROL ESTEFANIA AGUILAR PALACIOS </t>
        </is>
      </c>
      <c r="C94" s="99" t="n">
        <v>20221007091</v>
      </c>
      <c r="D94" s="83" t="inlineStr">
        <is>
          <t>MIC</t>
        </is>
      </c>
      <c r="E94" s="84" t="n">
        <v>46108</v>
      </c>
      <c r="F94" s="85" t="n">
        <v>0.5</v>
      </c>
      <c r="G94" s="93" t="inlineStr">
        <is>
          <t>Fuente</t>
        </is>
      </c>
      <c r="H94" s="87" t="inlineStr">
        <is>
          <t>Peaktech</t>
        </is>
      </c>
      <c r="I94" s="88" t="n">
        <v>410312</v>
      </c>
      <c r="J94" s="96" t="n"/>
      <c r="K94" s="87" t="inlineStr">
        <is>
          <t>MAQUINAS A</t>
        </is>
      </c>
      <c r="L94" s="87" t="inlineStr">
        <is>
          <t>N.A</t>
        </is>
      </c>
      <c r="M94" s="96" t="inlineStr">
        <is>
          <t>3</t>
        </is>
      </c>
      <c r="N94" s="87" t="inlineStr">
        <is>
          <t xml:space="preserve">La fuente de placa 410312 tiene un pulsador dañado </t>
        </is>
      </c>
      <c r="O94" s="87" t="n"/>
      <c r="P94" s="87" t="inlineStr">
        <is>
          <t>VANESSA CADENA</t>
        </is>
      </c>
      <c r="Q94" s="89" t="n">
        <v>46112</v>
      </c>
      <c r="R94" s="89" t="n"/>
      <c r="S94" s="89" t="n"/>
      <c r="T94" s="87" t="inlineStr">
        <is>
          <t>Se nota que el pulsador de (paralelo,serie) queda atascado</t>
        </is>
      </c>
      <c r="U94" s="87" t="inlineStr">
        <is>
          <t>Se realiza el cambio del pulsador y se deja funcional la fuente</t>
        </is>
      </c>
      <c r="V94" s="90" t="inlineStr">
        <is>
          <t>Operativo</t>
        </is>
      </c>
      <c r="W94" s="87" t="n"/>
      <c r="X94" s="91" t="n"/>
      <c r="Y94" s="87" t="inlineStr">
        <is>
          <t>Finalizada</t>
        </is>
      </c>
      <c r="Z94" s="87" t="n"/>
      <c r="AA94" s="87" t="inlineStr">
        <is>
          <t>Monitor</t>
        </is>
      </c>
    </row>
    <row r="95" ht="60" customHeight="1" s="157">
      <c r="A95" s="22" t="inlineStr">
        <is>
          <t>S-92</t>
        </is>
      </c>
      <c r="B95" s="83" t="inlineStr">
        <is>
          <t xml:space="preserve">KAROL ESTEFANIA AGUILAR PALACIOS </t>
        </is>
      </c>
      <c r="C95" s="99" t="n">
        <v>20221007091</v>
      </c>
      <c r="D95" s="83" t="inlineStr">
        <is>
          <t>MIC</t>
        </is>
      </c>
      <c r="E95" s="84" t="n">
        <v>46120</v>
      </c>
      <c r="F95" s="85" t="n">
        <v>0.4166666666666667</v>
      </c>
      <c r="G95" s="93" t="inlineStr">
        <is>
          <t xml:space="preserve">PINZA </t>
        </is>
      </c>
      <c r="H95" s="87" t="inlineStr">
        <is>
          <t>ERASMUS</t>
        </is>
      </c>
      <c r="I95" s="88" t="n"/>
      <c r="J95" s="102" t="inlineStr">
        <is>
          <t>12</t>
        </is>
      </c>
      <c r="K95" s="87" t="inlineStr">
        <is>
          <t>MAQUINAS A</t>
        </is>
      </c>
      <c r="L95" s="87" t="inlineStr">
        <is>
          <t>Circuitos II</t>
        </is>
      </c>
      <c r="M95" s="96" t="inlineStr">
        <is>
          <t>N.A</t>
        </is>
      </c>
      <c r="N95" s="87" t="inlineStr">
        <is>
          <t>La pinza de encuentra descalibrada</t>
        </is>
      </c>
      <c r="O95" s="87" t="n"/>
      <c r="P95" s="87" t="inlineStr">
        <is>
          <t>VANESSA CADENA</t>
        </is>
      </c>
      <c r="Q95" s="89" t="n">
        <v>46122</v>
      </c>
      <c r="R95" s="89" t="n"/>
      <c r="S95" s="89" t="n"/>
      <c r="T95" s="87" t="n"/>
      <c r="U95" s="87" t="inlineStr">
        <is>
          <t>Se abre el equipo (destapa) pero  no se encuentra nada anormal por lo que, se tiene que realizar una calibracion externa</t>
        </is>
      </c>
      <c r="V95" s="90" t="n"/>
      <c r="W95" s="87" t="n"/>
      <c r="X95" s="91" t="n"/>
      <c r="Y95" s="87" t="inlineStr">
        <is>
          <t>PENDIENTE</t>
        </is>
      </c>
      <c r="Z95" s="87" t="n"/>
      <c r="AA95" s="87" t="inlineStr">
        <is>
          <t>Monitor</t>
        </is>
      </c>
    </row>
    <row r="96" ht="45" customHeight="1" s="157">
      <c r="A96" s="22" t="inlineStr">
        <is>
          <t>S-93</t>
        </is>
      </c>
      <c r="B96" s="83" t="inlineStr">
        <is>
          <t>Juan Felipe Bonilla Albaraccin</t>
        </is>
      </c>
      <c r="C96" s="101" t="n">
        <v>20232005181</v>
      </c>
      <c r="D96" s="83" t="inlineStr">
        <is>
          <t>MIC</t>
        </is>
      </c>
      <c r="E96" s="84" t="n">
        <v>46078</v>
      </c>
      <c r="F96" s="85" t="n">
        <v>0.5416666666666666</v>
      </c>
      <c r="G96" s="86" t="inlineStr">
        <is>
          <t>MULTIMETRO</t>
        </is>
      </c>
      <c r="H96" s="87" t="inlineStr">
        <is>
          <t>ERASMUS</t>
        </is>
      </c>
      <c r="I96" s="88" t="n"/>
      <c r="J96" s="102" t="inlineStr">
        <is>
          <t>027</t>
        </is>
      </c>
      <c r="K96" s="87" t="inlineStr">
        <is>
          <t>MAQUINAS B</t>
        </is>
      </c>
      <c r="L96" s="87" t="inlineStr">
        <is>
          <t>Motores</t>
        </is>
      </c>
      <c r="M96" s="96" t="inlineStr">
        <is>
          <t>N.A</t>
        </is>
      </c>
      <c r="N96" s="87" t="inlineStr">
        <is>
          <t xml:space="preserve">Daño en la bocina </t>
        </is>
      </c>
      <c r="O96" s="87" t="n"/>
      <c r="P96" s="87" t="inlineStr">
        <is>
          <t>Juan Camilo Cañas</t>
        </is>
      </c>
      <c r="Q96" s="89" t="n">
        <v>46078</v>
      </c>
      <c r="R96" s="89" t="n"/>
      <c r="S96" s="89" t="n"/>
      <c r="T96" s="87" t="inlineStr">
        <is>
          <t xml:space="preserve">Buzzer del multimetro haciendo interferencia por soldadura desprendida </t>
        </is>
      </c>
      <c r="U96" s="87" t="inlineStr">
        <is>
          <t xml:space="preserve">se procede a rectificar la soldadura </t>
        </is>
      </c>
      <c r="V96" s="90" t="inlineStr">
        <is>
          <t>Operativo</t>
        </is>
      </c>
      <c r="W96" s="87" t="n"/>
      <c r="X96" s="87" t="n"/>
      <c r="Y96" s="87" t="inlineStr">
        <is>
          <t>Finalizada</t>
        </is>
      </c>
      <c r="Z96" s="87" t="n"/>
      <c r="AA96" s="87" t="inlineStr">
        <is>
          <t>Monitor</t>
        </is>
      </c>
    </row>
    <row r="97" ht="60" customHeight="1" s="157">
      <c r="A97" s="22" t="inlineStr">
        <is>
          <t>S-94</t>
        </is>
      </c>
      <c r="B97" s="83" t="inlineStr">
        <is>
          <t>Laura Natalia Parra Torres</t>
        </is>
      </c>
      <c r="C97" s="101" t="n">
        <v>20181007054</v>
      </c>
      <c r="D97" s="83" t="inlineStr">
        <is>
          <t>MIC</t>
        </is>
      </c>
      <c r="E97" s="84" t="n">
        <v>45343</v>
      </c>
      <c r="F97" s="85" t="n">
        <v>0.4166666666666667</v>
      </c>
      <c r="G97" s="86" t="inlineStr">
        <is>
          <t>FUENTE TRIFASICA</t>
        </is>
      </c>
      <c r="H97" s="87" t="inlineStr">
        <is>
          <t>LABEL</t>
        </is>
      </c>
      <c r="I97" s="88" t="n"/>
      <c r="J97" s="102" t="inlineStr">
        <is>
          <t>3</t>
        </is>
      </c>
      <c r="K97" s="87" t="inlineStr">
        <is>
          <t>MAQUINAS B</t>
        </is>
      </c>
      <c r="L97" s="87" t="inlineStr">
        <is>
          <t>CONVERSION ELECTROMAGNETICA</t>
        </is>
      </c>
      <c r="M97" s="96" t="inlineStr">
        <is>
          <t>1</t>
        </is>
      </c>
      <c r="N97" s="87" t="inlineStr">
        <is>
          <t>Dos lineas estan sin funcionar y no sirven los displays</t>
        </is>
      </c>
      <c r="O97" s="87" t="n"/>
      <c r="P97" s="87" t="inlineStr">
        <is>
          <t>Michel Mora- Camilo Peña</t>
        </is>
      </c>
      <c r="Q97" s="89" t="n">
        <v>45344</v>
      </c>
      <c r="R97" s="89" t="n"/>
      <c r="S97" s="89" t="n"/>
      <c r="T97" s="87" t="inlineStr">
        <is>
          <t>El fusible de la fase 1 no esta en funcionando por lo que los displays no estan haciendo alimentados</t>
        </is>
      </c>
      <c r="U97" s="87" t="inlineStr">
        <is>
          <t>Se hizo el cambio del portafusible y se reemplazo el fusible por uno nuevo</t>
        </is>
      </c>
      <c r="V97" s="90" t="inlineStr">
        <is>
          <t>Operativo</t>
        </is>
      </c>
      <c r="W97" s="87" t="n"/>
      <c r="X97" s="87" t="n"/>
      <c r="Y97" s="87" t="inlineStr">
        <is>
          <t>Finalizada</t>
        </is>
      </c>
      <c r="Z97" s="87" t="n"/>
      <c r="AA97" s="87" t="inlineStr">
        <is>
          <t>Monitor</t>
        </is>
      </c>
    </row>
    <row r="98" ht="135" customHeight="1" s="157">
      <c r="A98" s="22" t="inlineStr">
        <is>
          <t>S-95</t>
        </is>
      </c>
      <c r="B98" s="83" t="inlineStr">
        <is>
          <t>WILLIAM RICARDO LOPEZ</t>
        </is>
      </c>
      <c r="C98" s="101" t="n">
        <v>20232007149</v>
      </c>
      <c r="D98" s="83" t="inlineStr">
        <is>
          <t>MIC</t>
        </is>
      </c>
      <c r="E98" s="84" t="n">
        <v>46149</v>
      </c>
      <c r="F98" s="85" t="n">
        <v>0.3333333333333333</v>
      </c>
      <c r="G98" s="93" t="inlineStr">
        <is>
          <t>CRT - 1k Carga Trifasica</t>
        </is>
      </c>
      <c r="H98" s="91" t="inlineStr">
        <is>
          <t>SOLINGENI</t>
        </is>
      </c>
      <c r="I98" s="98" t="n"/>
      <c r="J98" s="102" t="inlineStr">
        <is>
          <t>4</t>
        </is>
      </c>
      <c r="K98" s="91" t="inlineStr">
        <is>
          <t>MAQUINAS A</t>
        </is>
      </c>
      <c r="L98" s="91" t="inlineStr">
        <is>
          <t>Circuitos II</t>
        </is>
      </c>
      <c r="M98" s="91" t="inlineStr">
        <is>
          <t>4</t>
        </is>
      </c>
      <c r="N98" s="91" t="inlineStr">
        <is>
          <t>R1 Y R2 PROBABLEMENTE EN CORTO, EN CUALQUIER POSICION AL ENERGIZAR SE SALTAN LAS PROTECCIONES</t>
        </is>
      </c>
      <c r="O98" s="91" t="n"/>
      <c r="P98" s="87" t="inlineStr">
        <is>
          <t>VANESSA CADENA - CARLOS RODRIGUEZ</t>
        </is>
      </c>
      <c r="Q98" s="89" t="n">
        <v>46150</v>
      </c>
      <c r="R98" s="89" t="n"/>
      <c r="S98" s="89" t="n"/>
      <c r="T98" s="87" t="inlineStr">
        <is>
          <t>Se evidencia que las resistencias se fundieron por lo que se encontraba en corto, adicionalmente, estas se encuentran abiertas por lo que aun que se repararon no se puede hacer nada más ya que no se cuentan con los repuestos.</t>
        </is>
      </c>
      <c r="U98" s="87" t="inlineStr">
        <is>
          <t>Se necesita mantenimiento externo</t>
        </is>
      </c>
      <c r="V98" s="90" t="n"/>
      <c r="W98" s="91" t="n"/>
      <c r="X98" s="91" t="n"/>
      <c r="Y98" s="87" t="inlineStr">
        <is>
          <t xml:space="preserve">Pendiente </t>
        </is>
      </c>
      <c r="Z98" s="87" t="n"/>
      <c r="AA98" s="87" t="inlineStr">
        <is>
          <t>Monitor</t>
        </is>
      </c>
    </row>
    <row r="99" ht="45" customHeight="1" s="157">
      <c r="A99" s="22" t="inlineStr">
        <is>
          <t>S-96</t>
        </is>
      </c>
      <c r="B99" s="83" t="inlineStr">
        <is>
          <t>JAIRO ALEXANDER RODRIGUEZ</t>
        </is>
      </c>
      <c r="C99" s="101" t="n">
        <v>20181007079</v>
      </c>
      <c r="D99" s="97" t="inlineStr">
        <is>
          <t>MIP</t>
        </is>
      </c>
      <c r="E99" s="84" t="n">
        <v>45345</v>
      </c>
      <c r="F99" s="85" t="n">
        <v>0.25</v>
      </c>
      <c r="G99" s="93" t="inlineStr">
        <is>
          <t>DECADA RESISTIVA</t>
        </is>
      </c>
      <c r="H99" s="87" t="inlineStr">
        <is>
          <t>TESCA</t>
        </is>
      </c>
      <c r="I99" s="98" t="n"/>
      <c r="J99" s="102" t="inlineStr">
        <is>
          <t>2</t>
        </is>
      </c>
      <c r="K99" s="91" t="inlineStr">
        <is>
          <t>MAQUINAS B</t>
        </is>
      </c>
      <c r="L99" s="91" t="inlineStr">
        <is>
          <t>CONVERSION ELECTROMAGNETICA</t>
        </is>
      </c>
      <c r="M99" s="94" t="inlineStr">
        <is>
          <t>2</t>
        </is>
      </c>
      <c r="N99" s="91" t="inlineStr">
        <is>
          <t>Medicion con instrumentos de laboratorio muestra un funcionamiento anomalo</t>
        </is>
      </c>
      <c r="O99" s="91" t="n"/>
      <c r="P99" s="87" t="inlineStr">
        <is>
          <t>CAMILO PEÑA</t>
        </is>
      </c>
      <c r="Q99" s="95" t="n">
        <v>45345</v>
      </c>
      <c r="R99" s="95" t="n"/>
      <c r="S99" s="95" t="n"/>
      <c r="T99" s="91" t="inlineStr">
        <is>
          <t>Se realizaron mediciones en cada una de las terminales y se encuentra en buen estado</t>
        </is>
      </c>
      <c r="U99" s="91" t="inlineStr">
        <is>
          <t>Se desarmo el equipo pero no se hizo ninguna correccion</t>
        </is>
      </c>
      <c r="V99" s="90" t="inlineStr">
        <is>
          <t>Operativo</t>
        </is>
      </c>
      <c r="W99" s="91" t="n"/>
      <c r="X99" s="91" t="n"/>
      <c r="Y99" s="87" t="inlineStr">
        <is>
          <t>Finalizada</t>
        </is>
      </c>
      <c r="Z99" s="87" t="n"/>
      <c r="AA99" s="87" t="inlineStr">
        <is>
          <t>Monitor</t>
        </is>
      </c>
    </row>
    <row r="100" ht="75" customHeight="1" s="157">
      <c r="A100" s="22" t="inlineStr">
        <is>
          <t>S-97</t>
        </is>
      </c>
      <c r="B100" s="83" t="inlineStr">
        <is>
          <t>Laura Natalia Parra Torres</t>
        </is>
      </c>
      <c r="C100" s="101" t="n">
        <v>20181007054</v>
      </c>
      <c r="D100" s="83" t="inlineStr">
        <is>
          <t>MIC</t>
        </is>
      </c>
      <c r="E100" s="84" t="n">
        <v>45344</v>
      </c>
      <c r="F100" s="85" t="n">
        <v>0.5</v>
      </c>
      <c r="G100" s="93" t="inlineStr">
        <is>
          <t>MULTIMETRO</t>
        </is>
      </c>
      <c r="H100" s="91" t="inlineStr">
        <is>
          <t>ERASMUS</t>
        </is>
      </c>
      <c r="I100" s="98" t="n"/>
      <c r="J100" s="102" t="inlineStr">
        <is>
          <t>53</t>
        </is>
      </c>
      <c r="K100" s="98" t="inlineStr">
        <is>
          <t>COMUNICACIONES - 610</t>
        </is>
      </c>
      <c r="L100" s="91" t="inlineStr">
        <is>
          <t>ELECTRONICA DIGITAL</t>
        </is>
      </c>
      <c r="M100" s="91" t="inlineStr">
        <is>
          <t>N.A</t>
        </is>
      </c>
      <c r="N100" s="91" t="inlineStr">
        <is>
          <t>El multimetro enciende pero solo la luz de fondo, no muestra nada de testigos o cualquier tipo de medicion en el display</t>
        </is>
      </c>
      <c r="O100" s="91" t="n"/>
      <c r="P100" s="87" t="inlineStr">
        <is>
          <t>CAMILO PEÑA</t>
        </is>
      </c>
      <c r="Q100" s="95" t="n">
        <v>45344</v>
      </c>
      <c r="R100" s="95" t="n"/>
      <c r="S100" s="95" t="n"/>
      <c r="T100" s="91" t="inlineStr">
        <is>
          <t>Se revisa el equipo y se evidencia que el funcionamiento anomalo es por mal funcionamiento de la bateria</t>
        </is>
      </c>
      <c r="U100" s="91" t="inlineStr">
        <is>
          <t>Se cambio la bateria</t>
        </is>
      </c>
      <c r="V100" s="90" t="inlineStr">
        <is>
          <t>Operativo</t>
        </is>
      </c>
      <c r="W100" s="91" t="n"/>
      <c r="X100" s="91" t="n"/>
      <c r="Y100" s="87" t="inlineStr">
        <is>
          <t>Finalizada</t>
        </is>
      </c>
      <c r="Z100" s="87" t="n"/>
      <c r="AA100" s="87" t="inlineStr">
        <is>
          <t>Monitor</t>
        </is>
      </c>
    </row>
    <row r="101" ht="30" customHeight="1" s="157">
      <c r="A101" s="22" t="inlineStr">
        <is>
          <t>S-98</t>
        </is>
      </c>
      <c r="B101" s="83" t="inlineStr">
        <is>
          <t>JUAN ESTEBAN MORENO GOMEZ</t>
        </is>
      </c>
      <c r="C101" s="99" t="n">
        <v>20211005052</v>
      </c>
      <c r="D101" s="83" t="inlineStr">
        <is>
          <t>MIC</t>
        </is>
      </c>
      <c r="E101" s="84" t="n">
        <v>44969</v>
      </c>
      <c r="F101" s="85" t="n">
        <v>0.375</v>
      </c>
      <c r="G101" s="93" t="inlineStr">
        <is>
          <t>MULTIMETRO</t>
        </is>
      </c>
      <c r="H101" s="91" t="inlineStr">
        <is>
          <t>ERASMUS</t>
        </is>
      </c>
      <c r="I101" s="98" t="n"/>
      <c r="J101" s="102" t="inlineStr">
        <is>
          <t>25</t>
        </is>
      </c>
      <c r="K101" s="98" t="inlineStr">
        <is>
          <t>ELECTRONICA A</t>
        </is>
      </c>
      <c r="L101" s="91" t="inlineStr">
        <is>
          <t>CIRCUITOS II</t>
        </is>
      </c>
      <c r="M101" s="91" t="inlineStr">
        <is>
          <t>1</t>
        </is>
      </c>
      <c r="N101" s="87" t="inlineStr">
        <is>
          <t>Bateria descargada</t>
        </is>
      </c>
      <c r="O101" s="87" t="n"/>
      <c r="P101" s="87" t="inlineStr">
        <is>
          <t>CAMILO PEÑA</t>
        </is>
      </c>
      <c r="Q101" s="95" t="n">
        <v>44969</v>
      </c>
      <c r="R101" s="95" t="n"/>
      <c r="S101" s="95" t="n"/>
      <c r="T101" s="87" t="inlineStr">
        <is>
          <t>Bateria Descargada</t>
        </is>
      </c>
      <c r="U101" s="87" t="inlineStr">
        <is>
          <t>Cambio de bateria</t>
        </is>
      </c>
      <c r="V101" s="90" t="inlineStr">
        <is>
          <t>Operativo</t>
        </is>
      </c>
      <c r="W101" s="91" t="n"/>
      <c r="X101" s="91" t="n"/>
      <c r="Y101" s="87" t="inlineStr">
        <is>
          <t>Finalizada</t>
        </is>
      </c>
      <c r="Z101" s="87" t="n"/>
      <c r="AA101" s="87" t="inlineStr">
        <is>
          <t>Monitor</t>
        </is>
      </c>
    </row>
    <row r="102" ht="30" customHeight="1" s="157">
      <c r="A102" s="22" t="inlineStr">
        <is>
          <t>S-99</t>
        </is>
      </c>
      <c r="B102" s="83" t="inlineStr">
        <is>
          <t>JAIRO ALEXANDER RODRIGUEZ</t>
        </is>
      </c>
      <c r="C102" s="101" t="n">
        <v>20181007079</v>
      </c>
      <c r="D102" s="97" t="inlineStr">
        <is>
          <t>MIC</t>
        </is>
      </c>
      <c r="E102" s="84" t="n">
        <v>45357</v>
      </c>
      <c r="F102" s="85" t="n">
        <v>0.5</v>
      </c>
      <c r="G102" s="93" t="inlineStr">
        <is>
          <t>MULTIMETRO</t>
        </is>
      </c>
      <c r="H102" s="91" t="inlineStr">
        <is>
          <t>ERASMUS</t>
        </is>
      </c>
      <c r="I102" s="98" t="n"/>
      <c r="J102" s="102" t="inlineStr">
        <is>
          <t>89</t>
        </is>
      </c>
      <c r="K102" s="91" t="inlineStr">
        <is>
          <t>ALMACEN</t>
        </is>
      </c>
      <c r="L102" s="98" t="inlineStr">
        <is>
          <t>CIRCUITOS I</t>
        </is>
      </c>
      <c r="M102" s="91" t="inlineStr">
        <is>
          <t>7</t>
        </is>
      </c>
      <c r="N102" s="87" t="inlineStr">
        <is>
          <t>No funciona fusible mA</t>
        </is>
      </c>
      <c r="O102" s="87" t="n"/>
      <c r="P102" s="87" t="inlineStr">
        <is>
          <t>CAMILO PEÑA</t>
        </is>
      </c>
      <c r="Q102" s="95" t="n">
        <v>45357</v>
      </c>
      <c r="R102" s="95" t="n"/>
      <c r="S102" s="95" t="n"/>
      <c r="T102" s="87" t="inlineStr">
        <is>
          <t>Se evidencia que el fusible de 500 mA esta quemado</t>
        </is>
      </c>
      <c r="U102" s="87" t="inlineStr">
        <is>
          <t>Se realizo el cambio de fusible</t>
        </is>
      </c>
      <c r="V102" s="90" t="inlineStr">
        <is>
          <t>Operativo</t>
        </is>
      </c>
      <c r="W102" s="91" t="n"/>
      <c r="X102" s="91" t="n"/>
      <c r="Y102" s="87" t="inlineStr">
        <is>
          <t>Finalizada</t>
        </is>
      </c>
      <c r="Z102" s="87" t="n"/>
      <c r="AA102" s="87" t="inlineStr">
        <is>
          <t>Monitor</t>
        </is>
      </c>
    </row>
    <row r="103" ht="30" customHeight="1" s="157">
      <c r="A103" s="22" t="inlineStr">
        <is>
          <t>S-100</t>
        </is>
      </c>
      <c r="B103" s="83" t="inlineStr">
        <is>
          <t>THOMAS JULIAN GOMEZ</t>
        </is>
      </c>
      <c r="C103" s="101" t="n">
        <v>1000160843</v>
      </c>
      <c r="D103" s="83" t="inlineStr">
        <is>
          <t>MIC</t>
        </is>
      </c>
      <c r="E103" s="84" t="n">
        <v>45387</v>
      </c>
      <c r="F103" s="85" t="n">
        <v>0.5833333333333334</v>
      </c>
      <c r="G103" s="93" t="inlineStr">
        <is>
          <t>MULTIMETRO</t>
        </is>
      </c>
      <c r="H103" s="91" t="inlineStr">
        <is>
          <t>ERASMUS</t>
        </is>
      </c>
      <c r="I103" s="98" t="n"/>
      <c r="J103" s="102" t="inlineStr">
        <is>
          <t>30</t>
        </is>
      </c>
      <c r="K103" s="98" t="inlineStr">
        <is>
          <t>FISICA</t>
        </is>
      </c>
      <c r="L103" s="91" t="inlineStr">
        <is>
          <t>FISICA II</t>
        </is>
      </c>
      <c r="M103" s="91" t="inlineStr">
        <is>
          <t>5</t>
        </is>
      </c>
      <c r="N103" s="91" t="inlineStr">
        <is>
          <t>No mide corriente en la escala de mA</t>
        </is>
      </c>
      <c r="O103" s="91" t="n"/>
      <c r="P103" s="87" t="inlineStr">
        <is>
          <t>MICHEL MORA</t>
        </is>
      </c>
      <c r="Q103" s="95" t="n">
        <v>45387</v>
      </c>
      <c r="R103" s="95" t="n"/>
      <c r="S103" s="95" t="n"/>
      <c r="T103" s="87" t="inlineStr">
        <is>
          <t>Fusible quemado por sobrecorriente en el circuito.</t>
        </is>
      </c>
      <c r="U103" s="87" t="inlineStr">
        <is>
          <t>Se realizo el cambio de fusible</t>
        </is>
      </c>
      <c r="V103" s="90" t="inlineStr">
        <is>
          <t>Operativo</t>
        </is>
      </c>
      <c r="W103" s="91" t="n"/>
      <c r="X103" s="91" t="n"/>
      <c r="Y103" s="87" t="inlineStr">
        <is>
          <t>Finalizada</t>
        </is>
      </c>
      <c r="Z103" s="87" t="n"/>
      <c r="AA103" s="87" t="inlineStr">
        <is>
          <t>Monitor</t>
        </is>
      </c>
    </row>
    <row r="104" ht="30" customHeight="1" s="157">
      <c r="A104" s="22" t="inlineStr">
        <is>
          <t>S-101</t>
        </is>
      </c>
      <c r="B104" s="83" t="inlineStr">
        <is>
          <t>Michel Steven Mora Cortez</t>
        </is>
      </c>
      <c r="C104" s="101" t="n">
        <v>1010226994</v>
      </c>
      <c r="D104" s="83" t="inlineStr">
        <is>
          <t>MIC</t>
        </is>
      </c>
      <c r="E104" s="84" t="inlineStr">
        <is>
          <t>08/24/2024</t>
        </is>
      </c>
      <c r="F104" s="85" t="n">
        <v>0.5</v>
      </c>
      <c r="G104" s="93" t="inlineStr">
        <is>
          <t>MULTIMETRO</t>
        </is>
      </c>
      <c r="H104" s="91" t="inlineStr">
        <is>
          <t>ERASMUS</t>
        </is>
      </c>
      <c r="I104" s="98" t="n"/>
      <c r="J104" s="102" t="inlineStr">
        <is>
          <t>076</t>
        </is>
      </c>
      <c r="K104" s="91" t="inlineStr">
        <is>
          <t>ALMACEN</t>
        </is>
      </c>
      <c r="L104" s="91" t="inlineStr">
        <is>
          <t>N.A</t>
        </is>
      </c>
      <c r="M104" s="91" t="inlineStr">
        <is>
          <t>N.A</t>
        </is>
      </c>
      <c r="N104" s="91" t="inlineStr">
        <is>
          <t>No enciende</t>
        </is>
      </c>
      <c r="O104" s="91" t="n"/>
      <c r="P104" s="87" t="inlineStr">
        <is>
          <t>MICHEL MORA</t>
        </is>
      </c>
      <c r="Q104" s="95" t="n">
        <v>45390</v>
      </c>
      <c r="R104" s="95" t="n"/>
      <c r="S104" s="95" t="n"/>
      <c r="T104" s="87" t="inlineStr">
        <is>
          <t>Resistencia en la placa desconectada</t>
        </is>
      </c>
      <c r="U104" s="87" t="inlineStr">
        <is>
          <t>Se soldo nuevamente la resistencia en la placa</t>
        </is>
      </c>
      <c r="V104" s="90" t="inlineStr">
        <is>
          <t>Operativo</t>
        </is>
      </c>
      <c r="W104" s="91" t="n"/>
      <c r="X104" s="91" t="n"/>
      <c r="Y104" s="87" t="inlineStr">
        <is>
          <t>Finalizada</t>
        </is>
      </c>
      <c r="Z104" s="87" t="n"/>
      <c r="AA104" s="87" t="inlineStr">
        <is>
          <t>Monitor</t>
        </is>
      </c>
    </row>
    <row r="105" ht="45" customHeight="1" s="157">
      <c r="A105" s="22" t="inlineStr">
        <is>
          <t>S-102</t>
        </is>
      </c>
      <c r="B105" s="83" t="inlineStr">
        <is>
          <t>NAHIR SOFIA HUERTAS CIFUENTES</t>
        </is>
      </c>
      <c r="C105" s="101" t="n">
        <v>20191005083</v>
      </c>
      <c r="D105" s="83" t="inlineStr">
        <is>
          <t>MIC</t>
        </is>
      </c>
      <c r="E105" s="84" t="n">
        <v>45392</v>
      </c>
      <c r="F105" s="85" t="n">
        <v>0.4166666666666667</v>
      </c>
      <c r="G105" s="93" t="inlineStr">
        <is>
          <t>Fuente DC</t>
        </is>
      </c>
      <c r="H105" s="87" t="inlineStr">
        <is>
          <t>PEAKTECH</t>
        </is>
      </c>
      <c r="I105" s="98" t="n">
        <v>432972</v>
      </c>
      <c r="J105" s="91" t="n"/>
      <c r="K105" s="91" t="inlineStr">
        <is>
          <t>ELECTRONICA B</t>
        </is>
      </c>
      <c r="L105" s="91" t="inlineStr">
        <is>
          <t>ADICIONAL</t>
        </is>
      </c>
      <c r="M105" s="91" t="inlineStr">
        <is>
          <t>8</t>
        </is>
      </c>
      <c r="N105" s="91" t="inlineStr">
        <is>
          <t>La fuente arroja 54 V y no permite hacer ajustes</t>
        </is>
      </c>
      <c r="O105" s="91" t="n"/>
      <c r="P105" s="87" t="inlineStr">
        <is>
          <t>MICHEL MORA</t>
        </is>
      </c>
      <c r="Q105" s="95" t="n">
        <v>45400</v>
      </c>
      <c r="R105" s="95" t="n"/>
      <c r="S105" s="95" t="n"/>
      <c r="T105" s="87" t="inlineStr">
        <is>
          <t>Daño en la tarjeta de control</t>
        </is>
      </c>
      <c r="U105" s="87" t="inlineStr">
        <is>
          <t>Se cambia un potenciometro de 10k y se hace puentea una conexión rota</t>
        </is>
      </c>
      <c r="V105" s="90" t="inlineStr">
        <is>
          <t>Operativo</t>
        </is>
      </c>
      <c r="W105" s="91" t="n"/>
      <c r="X105" s="91" t="n"/>
      <c r="Y105" s="87" t="inlineStr">
        <is>
          <t>Finalizada</t>
        </is>
      </c>
      <c r="Z105" s="87" t="n"/>
      <c r="AA105" s="87" t="inlineStr">
        <is>
          <t>Monitor</t>
        </is>
      </c>
    </row>
    <row r="106" ht="30" customHeight="1" s="157">
      <c r="A106" s="22" t="inlineStr">
        <is>
          <t>S-103</t>
        </is>
      </c>
      <c r="B106" s="83" t="inlineStr">
        <is>
          <t>SANTIAGO JOSE RICO VALBUENA</t>
        </is>
      </c>
      <c r="C106" s="101" t="n">
        <v>20182005047</v>
      </c>
      <c r="D106" s="83" t="inlineStr">
        <is>
          <t>MIC</t>
        </is>
      </c>
      <c r="E106" s="84" t="n">
        <v>45432</v>
      </c>
      <c r="F106" s="85" t="n">
        <v>0.6666666666666666</v>
      </c>
      <c r="G106" s="93" t="inlineStr">
        <is>
          <t>MULTIMETRO</t>
        </is>
      </c>
      <c r="H106" s="91" t="inlineStr">
        <is>
          <t>ERASMUS</t>
        </is>
      </c>
      <c r="I106" s="98" t="n"/>
      <c r="J106" s="102" t="inlineStr">
        <is>
          <t>45</t>
        </is>
      </c>
      <c r="K106" s="98" t="n">
        <v>607</v>
      </c>
      <c r="L106" s="91" t="inlineStr">
        <is>
          <t>ELECTRONICA II</t>
        </is>
      </c>
      <c r="M106" s="91" t="inlineStr">
        <is>
          <t>2</t>
        </is>
      </c>
      <c r="N106" s="91" t="inlineStr">
        <is>
          <t>Mal contacto en selector, falla de medicion</t>
        </is>
      </c>
      <c r="O106" s="91" t="n"/>
      <c r="P106" s="87" t="inlineStr">
        <is>
          <t>MICHEL MORA</t>
        </is>
      </c>
      <c r="Q106" s="95" t="n">
        <v>45455</v>
      </c>
      <c r="R106" s="95" t="n"/>
      <c r="S106" s="95" t="n"/>
      <c r="T106" s="87" t="inlineStr">
        <is>
          <t>Mal contacto en las conexiones del selector</t>
        </is>
      </c>
      <c r="U106" s="87" t="inlineStr">
        <is>
          <t>Se hace limpieza general de los contactos</t>
        </is>
      </c>
      <c r="V106" s="90" t="inlineStr">
        <is>
          <t>Operativo</t>
        </is>
      </c>
      <c r="W106" s="91" t="n"/>
      <c r="X106" s="91" t="n"/>
      <c r="Y106" s="87" t="inlineStr">
        <is>
          <t>Finalizada</t>
        </is>
      </c>
      <c r="Z106" s="87" t="n"/>
      <c r="AA106" s="87" t="inlineStr">
        <is>
          <t>Monitor</t>
        </is>
      </c>
    </row>
    <row r="107" ht="45" customHeight="1" s="157">
      <c r="A107" s="22" t="inlineStr">
        <is>
          <t>S-104</t>
        </is>
      </c>
      <c r="B107" s="83" t="inlineStr">
        <is>
          <t>NICOLAS GALVEZ</t>
        </is>
      </c>
      <c r="C107" s="101" t="n">
        <v>20211005044</v>
      </c>
      <c r="D107" s="83" t="inlineStr">
        <is>
          <t>MIC</t>
        </is>
      </c>
      <c r="E107" s="84" t="n">
        <v>45453</v>
      </c>
      <c r="F107" s="85" t="n">
        <v>0.25</v>
      </c>
      <c r="G107" s="93" t="inlineStr">
        <is>
          <t xml:space="preserve">Generador de señales </t>
        </is>
      </c>
      <c r="H107" s="91" t="inlineStr">
        <is>
          <t>SIGLEMT</t>
        </is>
      </c>
      <c r="I107" s="98" t="n"/>
      <c r="J107" s="102" t="inlineStr">
        <is>
          <t>001</t>
        </is>
      </c>
      <c r="K107" s="98" t="n">
        <v>607</v>
      </c>
      <c r="L107" s="98" t="inlineStr">
        <is>
          <t>COMUNICACIONES</t>
        </is>
      </c>
      <c r="M107" s="91" t="inlineStr">
        <is>
          <t>8</t>
        </is>
      </c>
      <c r="N107" s="91" t="inlineStr">
        <is>
          <t>Lo fueron a utilizar y no preveia ninguna señal</t>
        </is>
      </c>
      <c r="O107" s="91" t="n"/>
      <c r="P107" s="87" t="inlineStr">
        <is>
          <t>MICHEL MORA</t>
        </is>
      </c>
      <c r="Q107" s="95" t="n">
        <v>45454</v>
      </c>
      <c r="R107" s="95" t="n"/>
      <c r="S107" s="95" t="n"/>
      <c r="T107" s="87" t="inlineStr">
        <is>
          <t>El generador solicita que se conecte una fuente externa cada vez que se activa un canal</t>
        </is>
      </c>
      <c r="U107" s="87" t="inlineStr">
        <is>
          <t>Se hacen algunas configuraciones y reinicio del equipo</t>
        </is>
      </c>
      <c r="V107" s="90" t="inlineStr">
        <is>
          <t>Operativo</t>
        </is>
      </c>
      <c r="W107" s="91" t="n"/>
      <c r="X107" s="91" t="n"/>
      <c r="Y107" s="87" t="inlineStr">
        <is>
          <t>Finalizada</t>
        </is>
      </c>
      <c r="Z107" s="87" t="n"/>
      <c r="AA107" s="87" t="inlineStr">
        <is>
          <t>Monitor</t>
        </is>
      </c>
    </row>
    <row r="108" ht="45" customHeight="1" s="157">
      <c r="A108" s="22" t="inlineStr">
        <is>
          <t>S-105</t>
        </is>
      </c>
      <c r="B108" s="83" t="inlineStr">
        <is>
          <t xml:space="preserve">ANTONIO RODRIGUEZ </t>
        </is>
      </c>
      <c r="C108" s="101" t="n"/>
      <c r="D108" s="83" t="inlineStr">
        <is>
          <t>MIC</t>
        </is>
      </c>
      <c r="E108" s="84" t="n">
        <v>46178</v>
      </c>
      <c r="F108" s="85" t="n">
        <v>0.3333333333333333</v>
      </c>
      <c r="G108" s="93" t="inlineStr">
        <is>
          <t>Fuente</t>
        </is>
      </c>
      <c r="H108" s="91" t="inlineStr">
        <is>
          <t>RIGOL</t>
        </is>
      </c>
      <c r="I108" s="98" t="n">
        <v>2022062200004</v>
      </c>
      <c r="J108" s="91" t="n"/>
      <c r="K108" s="91" t="inlineStr">
        <is>
          <t>610</t>
        </is>
      </c>
      <c r="L108" s="91" t="inlineStr">
        <is>
          <t>COMUNICACIONES ANALOGICAS</t>
        </is>
      </c>
      <c r="M108" s="91" t="inlineStr">
        <is>
          <t>7</t>
        </is>
      </c>
      <c r="N108" s="91" t="inlineStr">
        <is>
          <t>Enciende pero no se muestra ningun indicador en la pantalla</t>
        </is>
      </c>
      <c r="O108" s="91" t="n"/>
      <c r="P108" s="87" t="inlineStr">
        <is>
          <t>MICHEL MORA</t>
        </is>
      </c>
      <c r="Q108" s="95" t="n">
        <v>45454</v>
      </c>
      <c r="R108" s="95" t="n"/>
      <c r="S108" s="95" t="n"/>
      <c r="T108" s="91" t="inlineStr">
        <is>
          <t>La fuente no tiene configurada correctamente el selector del voltaje de entrada</t>
        </is>
      </c>
      <c r="U108" s="87" t="inlineStr">
        <is>
          <t>Se ajusta el selector para una entrada de 115 VAC</t>
        </is>
      </c>
      <c r="V108" s="90" t="inlineStr">
        <is>
          <t>Operativo</t>
        </is>
      </c>
      <c r="W108" s="91" t="n"/>
      <c r="X108" s="91" t="n"/>
      <c r="Y108" s="87" t="inlineStr">
        <is>
          <t>Finalizada</t>
        </is>
      </c>
      <c r="Z108" s="87" t="n"/>
      <c r="AA108" s="87" t="inlineStr">
        <is>
          <t>Monitor</t>
        </is>
      </c>
    </row>
    <row r="109" ht="60" customHeight="1" s="157">
      <c r="A109" s="22" t="inlineStr">
        <is>
          <t>S-106</t>
        </is>
      </c>
      <c r="B109" s="83" t="inlineStr">
        <is>
          <t>HUMBERTO GUTIERREZ</t>
        </is>
      </c>
      <c r="C109" s="101" t="n">
        <v>20191005015</v>
      </c>
      <c r="D109" s="83" t="inlineStr">
        <is>
          <t>MIC</t>
        </is>
      </c>
      <c r="E109" s="84" t="n">
        <v>45513</v>
      </c>
      <c r="F109" s="85" t="n">
        <v>0.25</v>
      </c>
      <c r="G109" s="93" t="inlineStr">
        <is>
          <t>Fuente DC</t>
        </is>
      </c>
      <c r="H109" s="87" t="inlineStr">
        <is>
          <t>PEAKTECH</t>
        </is>
      </c>
      <c r="I109" s="98" t="n"/>
      <c r="J109" s="102" t="inlineStr">
        <is>
          <t>71</t>
        </is>
      </c>
      <c r="K109" s="91" t="inlineStr">
        <is>
          <t>MAQUINAS A</t>
        </is>
      </c>
      <c r="L109" s="91" t="inlineStr">
        <is>
          <t>ELECTRONICA DE POTENCIA</t>
        </is>
      </c>
      <c r="M109" s="91" t="inlineStr">
        <is>
          <t>3</t>
        </is>
      </c>
      <c r="N109" s="91" t="inlineStr">
        <is>
          <t>Canal uno sin voltaje variable</t>
        </is>
      </c>
      <c r="O109" s="91" t="n"/>
      <c r="P109" s="87" t="inlineStr">
        <is>
          <t>MICHEL MORA</t>
        </is>
      </c>
      <c r="Q109" s="95" t="n">
        <v>45392</v>
      </c>
      <c r="R109" s="95" t="n"/>
      <c r="S109" s="95" t="n"/>
      <c r="T109" s="91" t="inlineStr">
        <is>
          <t>Resistencia de 460 quemada</t>
        </is>
      </c>
      <c r="U109" s="87" t="inlineStr">
        <is>
          <t>Se cambio la resistencia quemada y se conecto de nuevo el sistema de proteccion contratemperatura al ventilador</t>
        </is>
      </c>
      <c r="V109" s="90" t="inlineStr">
        <is>
          <t>Operativo</t>
        </is>
      </c>
      <c r="W109" s="91" t="n"/>
      <c r="X109" s="91" t="n"/>
      <c r="Y109" s="87" t="inlineStr">
        <is>
          <t>Finalizada</t>
        </is>
      </c>
      <c r="Z109" s="87" t="n"/>
      <c r="AA109" s="87" t="inlineStr">
        <is>
          <t>Monitor</t>
        </is>
      </c>
    </row>
    <row r="110" ht="30" customHeight="1" s="157">
      <c r="A110" s="22" t="inlineStr">
        <is>
          <t>S-107</t>
        </is>
      </c>
      <c r="B110" s="83" t="inlineStr">
        <is>
          <t xml:space="preserve">FABIAN GARCIA </t>
        </is>
      </c>
      <c r="C110" s="101" t="n">
        <v>20211005138</v>
      </c>
      <c r="D110" s="83" t="inlineStr">
        <is>
          <t>MIC</t>
        </is>
      </c>
      <c r="E110" s="84" t="n">
        <v>45415</v>
      </c>
      <c r="F110" s="85" t="n">
        <v>0.75</v>
      </c>
      <c r="G110" s="93" t="inlineStr">
        <is>
          <t>DECADA RESISTIVA</t>
        </is>
      </c>
      <c r="H110" s="87" t="inlineStr">
        <is>
          <t>PEAKTECH</t>
        </is>
      </c>
      <c r="I110" s="98" t="n"/>
      <c r="J110" s="102" t="inlineStr">
        <is>
          <t>5</t>
        </is>
      </c>
      <c r="K110" s="91" t="inlineStr">
        <is>
          <t>ALMACEN</t>
        </is>
      </c>
      <c r="L110" s="91" t="inlineStr">
        <is>
          <t>N.A</t>
        </is>
      </c>
      <c r="M110" s="91" t="inlineStr">
        <is>
          <t>N.A</t>
        </is>
      </c>
      <c r="N110" s="91" t="inlineStr">
        <is>
          <t>En ninguna posicion se logra registrar valor de resistencia</t>
        </is>
      </c>
      <c r="O110" s="91" t="n"/>
      <c r="P110" s="87" t="inlineStr">
        <is>
          <t>MICHEL MORA</t>
        </is>
      </c>
      <c r="Q110" s="95" t="n">
        <v>45418</v>
      </c>
      <c r="R110" s="95" t="n"/>
      <c r="S110" s="95" t="n"/>
      <c r="T110" s="91" t="inlineStr">
        <is>
          <t>Selector dañado</t>
        </is>
      </c>
      <c r="U110" s="87" t="inlineStr">
        <is>
          <t>Se realizo la reparacion del selector</t>
        </is>
      </c>
      <c r="V110" s="90" t="inlineStr">
        <is>
          <t>Operativo</t>
        </is>
      </c>
      <c r="W110" s="91" t="n"/>
      <c r="X110" s="91" t="n"/>
      <c r="Y110" s="87" t="inlineStr">
        <is>
          <t>Finalizada</t>
        </is>
      </c>
      <c r="Z110" s="87" t="n"/>
      <c r="AA110" s="87" t="inlineStr">
        <is>
          <t>Monitor</t>
        </is>
      </c>
    </row>
    <row r="111" ht="30" customHeight="1" s="157">
      <c r="A111" s="22" t="inlineStr">
        <is>
          <t>S-108</t>
        </is>
      </c>
      <c r="B111" s="83" t="inlineStr">
        <is>
          <t>Santiago andres gomez barbon</t>
        </is>
      </c>
      <c r="C111" s="101" t="n">
        <v>20211005034</v>
      </c>
      <c r="D111" s="83" t="inlineStr">
        <is>
          <t>MIC</t>
        </is>
      </c>
      <c r="E111" s="84" t="n">
        <v>45420</v>
      </c>
      <c r="F111" s="85" t="n">
        <v>0.4166666666666667</v>
      </c>
      <c r="G111" s="93" t="inlineStr">
        <is>
          <t>TACOMETRO</t>
        </is>
      </c>
      <c r="H111" s="91" t="inlineStr">
        <is>
          <t>ERASMUS</t>
        </is>
      </c>
      <c r="I111" s="98" t="n"/>
      <c r="J111" s="102" t="inlineStr">
        <is>
          <t>2</t>
        </is>
      </c>
      <c r="K111" s="91" t="inlineStr">
        <is>
          <t>ALMACEN</t>
        </is>
      </c>
      <c r="L111" s="91" t="inlineStr">
        <is>
          <t>N.A</t>
        </is>
      </c>
      <c r="M111" s="91" t="inlineStr">
        <is>
          <t>N.A</t>
        </is>
      </c>
      <c r="N111" s="91" t="inlineStr">
        <is>
          <t>No enciende</t>
        </is>
      </c>
      <c r="O111" s="91" t="n"/>
      <c r="P111" s="87" t="inlineStr">
        <is>
          <t>MICHEL MORA</t>
        </is>
      </c>
      <c r="Q111" s="95" t="n">
        <v>45420</v>
      </c>
      <c r="R111" s="95" t="n"/>
      <c r="S111" s="95" t="n"/>
      <c r="T111" s="91" t="inlineStr">
        <is>
          <t>Baterias AA descargadas</t>
        </is>
      </c>
      <c r="U111" s="87" t="inlineStr">
        <is>
          <t>Cambio de baterias</t>
        </is>
      </c>
      <c r="V111" s="90" t="inlineStr">
        <is>
          <t>Operativo</t>
        </is>
      </c>
      <c r="W111" s="91" t="n"/>
      <c r="X111" s="91" t="n"/>
      <c r="Y111" s="87" t="inlineStr">
        <is>
          <t>Finalizada</t>
        </is>
      </c>
      <c r="Z111" s="87" t="n"/>
      <c r="AA111" s="87" t="inlineStr">
        <is>
          <t>Monitor</t>
        </is>
      </c>
    </row>
    <row r="112">
      <c r="A112" s="22" t="inlineStr">
        <is>
          <t>S-109</t>
        </is>
      </c>
      <c r="B112" s="83" t="inlineStr">
        <is>
          <t>Gooder ROGRIGUEZ</t>
        </is>
      </c>
      <c r="C112" s="101" t="n">
        <v>1192928780</v>
      </c>
      <c r="D112" s="83" t="inlineStr">
        <is>
          <t>MIC</t>
        </is>
      </c>
      <c r="E112" s="84" t="n">
        <v>45421</v>
      </c>
      <c r="F112" s="85" t="n">
        <v>0.5833333333333334</v>
      </c>
      <c r="G112" s="93" t="inlineStr">
        <is>
          <t>MULTIMETRO</t>
        </is>
      </c>
      <c r="H112" s="91" t="inlineStr">
        <is>
          <t>ERASMUS</t>
        </is>
      </c>
      <c r="I112" s="98" t="n"/>
      <c r="J112" s="102" t="inlineStr">
        <is>
          <t>7</t>
        </is>
      </c>
      <c r="K112" s="91" t="inlineStr">
        <is>
          <t>MAQUINAS A</t>
        </is>
      </c>
      <c r="L112" s="91" t="inlineStr">
        <is>
          <t>CIRCUITOS I</t>
        </is>
      </c>
      <c r="M112" s="91" t="inlineStr">
        <is>
          <t>5</t>
        </is>
      </c>
      <c r="N112" s="91" t="inlineStr">
        <is>
          <t>No mide corriente en mA</t>
        </is>
      </c>
      <c r="O112" s="91" t="n"/>
      <c r="P112" s="87" t="inlineStr">
        <is>
          <t>MICHEL MORA</t>
        </is>
      </c>
      <c r="Q112" s="95" t="n">
        <v>45421</v>
      </c>
      <c r="R112" s="95" t="n"/>
      <c r="S112" s="95" t="n"/>
      <c r="T112" s="91" t="inlineStr">
        <is>
          <t>Fusible de 500 mA averiado</t>
        </is>
      </c>
      <c r="U112" s="87" t="inlineStr">
        <is>
          <t>Se cambio el fusible de 500 mA</t>
        </is>
      </c>
      <c r="V112" s="90" t="inlineStr">
        <is>
          <t>Operativo</t>
        </is>
      </c>
      <c r="W112" s="91" t="n"/>
      <c r="X112" s="91" t="n"/>
      <c r="Y112" s="87" t="inlineStr">
        <is>
          <t>Finalizada</t>
        </is>
      </c>
      <c r="Z112" s="87" t="n"/>
      <c r="AA112" s="87" t="inlineStr">
        <is>
          <t>Monitor</t>
        </is>
      </c>
    </row>
    <row r="113" ht="30" customHeight="1" s="157">
      <c r="A113" s="22" t="inlineStr">
        <is>
          <t>S-110</t>
        </is>
      </c>
      <c r="B113" s="83" t="inlineStr">
        <is>
          <t>THOMAS JULIAN GOMEZ</t>
        </is>
      </c>
      <c r="C113" s="101" t="n">
        <v>1000160843</v>
      </c>
      <c r="D113" s="83" t="inlineStr">
        <is>
          <t>MIC</t>
        </is>
      </c>
      <c r="E113" s="84" t="n">
        <v>45404</v>
      </c>
      <c r="F113" s="85" t="n">
        <v>0.5</v>
      </c>
      <c r="G113" s="93" t="inlineStr">
        <is>
          <t>MULTIMETRO</t>
        </is>
      </c>
      <c r="H113" s="91" t="inlineStr">
        <is>
          <t>ERASMUS</t>
        </is>
      </c>
      <c r="I113" s="98" t="n"/>
      <c r="J113" s="102" t="inlineStr">
        <is>
          <t>003</t>
        </is>
      </c>
      <c r="K113" s="91" t="inlineStr">
        <is>
          <t>MAQUINAS A</t>
        </is>
      </c>
      <c r="L113" s="91" t="inlineStr">
        <is>
          <t>Circuitos II</t>
        </is>
      </c>
      <c r="M113" s="91" t="inlineStr">
        <is>
          <t>2</t>
        </is>
      </c>
      <c r="N113" s="91" t="inlineStr">
        <is>
          <t>No registra valores en la escala de Amperios</t>
        </is>
      </c>
      <c r="O113" s="91" t="n"/>
      <c r="P113" s="87" t="inlineStr">
        <is>
          <t>MICHEL MORA</t>
        </is>
      </c>
      <c r="Q113" s="95" t="n">
        <v>45411</v>
      </c>
      <c r="R113" s="95" t="n"/>
      <c r="S113" s="95" t="n"/>
      <c r="T113" s="91" t="inlineStr">
        <is>
          <t>Fusible 10 Amperios averiado</t>
        </is>
      </c>
      <c r="U113" s="87" t="inlineStr">
        <is>
          <t>Se realizo el cambio de fusible de 10 A</t>
        </is>
      </c>
      <c r="V113" s="90" t="inlineStr">
        <is>
          <t>Operativo</t>
        </is>
      </c>
      <c r="W113" s="91" t="n"/>
      <c r="X113" s="91" t="n"/>
      <c r="Y113" s="87" t="inlineStr">
        <is>
          <t>Finalizada</t>
        </is>
      </c>
      <c r="Z113" s="87" t="n"/>
      <c r="AA113" s="87" t="inlineStr">
        <is>
          <t>Monitor</t>
        </is>
      </c>
    </row>
    <row r="114" ht="30" customHeight="1" s="157">
      <c r="A114" s="22" t="inlineStr">
        <is>
          <t>S-111</t>
        </is>
      </c>
      <c r="B114" s="83" t="inlineStr">
        <is>
          <t>THOMAS JULIAN GOMEZ</t>
        </is>
      </c>
      <c r="C114" s="101" t="n">
        <v>1000160843</v>
      </c>
      <c r="D114" s="83" t="inlineStr">
        <is>
          <t>MIC</t>
        </is>
      </c>
      <c r="E114" s="84" t="n">
        <v>45404</v>
      </c>
      <c r="F114" s="85" t="n">
        <v>0.5833333333333334</v>
      </c>
      <c r="G114" s="93" t="inlineStr">
        <is>
          <t>MULTIMETRO</t>
        </is>
      </c>
      <c r="H114" s="91" t="inlineStr">
        <is>
          <t>ERASMUS</t>
        </is>
      </c>
      <c r="I114" s="98" t="n"/>
      <c r="J114" s="102" t="inlineStr">
        <is>
          <t>037</t>
        </is>
      </c>
      <c r="K114" s="91" t="inlineStr">
        <is>
          <t>MAQUINAS A</t>
        </is>
      </c>
      <c r="L114" s="91" t="inlineStr">
        <is>
          <t>Circuitos</t>
        </is>
      </c>
      <c r="M114" s="91" t="inlineStr">
        <is>
          <t>6</t>
        </is>
      </c>
      <c r="N114" s="91" t="inlineStr">
        <is>
          <t>No mide corriente en la escala de amperios</t>
        </is>
      </c>
      <c r="O114" s="91" t="n"/>
      <c r="P114" s="87" t="inlineStr">
        <is>
          <t>MICHEL MORA</t>
        </is>
      </c>
      <c r="Q114" s="95" t="n">
        <v>45404</v>
      </c>
      <c r="R114" s="95" t="n"/>
      <c r="S114" s="95" t="n"/>
      <c r="T114" s="91" t="inlineStr">
        <is>
          <t>Fusible 10 Amperios averiado</t>
        </is>
      </c>
      <c r="U114" s="87" t="inlineStr">
        <is>
          <t>Se realizo el cambio de fusible de 10 A</t>
        </is>
      </c>
      <c r="V114" s="90" t="inlineStr">
        <is>
          <t>Operativo</t>
        </is>
      </c>
      <c r="W114" s="91" t="n"/>
      <c r="X114" s="91" t="n"/>
      <c r="Y114" s="87" t="inlineStr">
        <is>
          <t>Finalizada</t>
        </is>
      </c>
      <c r="Z114" s="87" t="n"/>
      <c r="AA114" s="87" t="inlineStr">
        <is>
          <t>Monitor</t>
        </is>
      </c>
    </row>
    <row r="115" ht="75" customHeight="1" s="157">
      <c r="A115" s="22" t="inlineStr">
        <is>
          <t>S-112</t>
        </is>
      </c>
      <c r="B115" s="83" t="inlineStr">
        <is>
          <t>JAIRO ALEXANDER RODRIGUEZ</t>
        </is>
      </c>
      <c r="C115" s="101" t="n">
        <v>20181007079</v>
      </c>
      <c r="D115" s="83" t="inlineStr">
        <is>
          <t>MIC</t>
        </is>
      </c>
      <c r="E115" s="84" t="n">
        <v>45422</v>
      </c>
      <c r="F115" s="85" t="n">
        <v>0.5</v>
      </c>
      <c r="G115" s="93" t="inlineStr">
        <is>
          <t>MULTIMETRO</t>
        </is>
      </c>
      <c r="H115" s="91" t="inlineStr">
        <is>
          <t>ERASMUS</t>
        </is>
      </c>
      <c r="I115" s="98" t="n"/>
      <c r="J115" s="102" t="inlineStr">
        <is>
          <t>006</t>
        </is>
      </c>
      <c r="K115" s="91" t="inlineStr">
        <is>
          <t>MAQUINAS A</t>
        </is>
      </c>
      <c r="L115" s="91" t="inlineStr">
        <is>
          <t>CONVERSION ELECTROMAGNETICA</t>
        </is>
      </c>
      <c r="M115" s="91" t="inlineStr">
        <is>
          <t>2</t>
        </is>
      </c>
      <c r="N115" s="91" t="inlineStr">
        <is>
          <t>Se mide tension AC con dos multimetros otros equipos y se registra 208 en cambion en particular para el presente equipo se registra 192 V</t>
        </is>
      </c>
      <c r="O115" s="91" t="n"/>
      <c r="P115" s="87" t="inlineStr">
        <is>
          <t>MICHEL MORA</t>
        </is>
      </c>
      <c r="Q115" s="95" t="n">
        <v>45456</v>
      </c>
      <c r="R115" s="95" t="n"/>
      <c r="S115" s="95" t="n"/>
      <c r="T115" s="91" t="inlineStr">
        <is>
          <t>Voltimetro descalibrado</t>
        </is>
      </c>
      <c r="U115" s="87" t="inlineStr">
        <is>
          <t>Se realiza el ajuste de voltaje mediante el potenciometro en la placa y se cambia la carcasa por la NO 79</t>
        </is>
      </c>
      <c r="V115" s="90" t="inlineStr">
        <is>
          <t>Operativo</t>
        </is>
      </c>
      <c r="W115" s="91" t="n"/>
      <c r="X115" s="91" t="n"/>
      <c r="Y115" s="87" t="inlineStr">
        <is>
          <t>Finalizada</t>
        </is>
      </c>
      <c r="Z115" s="87" t="n"/>
      <c r="AA115" s="87" t="inlineStr">
        <is>
          <t>Monitor</t>
        </is>
      </c>
    </row>
    <row r="116" ht="30" customHeight="1" s="157">
      <c r="A116" s="22" t="inlineStr">
        <is>
          <t>S-113</t>
        </is>
      </c>
      <c r="B116" s="83" t="inlineStr">
        <is>
          <t xml:space="preserve">JUAN ESTEBAN MORENO GOMEZ </t>
        </is>
      </c>
      <c r="C116" s="101" t="n">
        <v>20211005052</v>
      </c>
      <c r="D116" s="83" t="inlineStr">
        <is>
          <t>MIC</t>
        </is>
      </c>
      <c r="E116" s="84" t="n">
        <v>45449</v>
      </c>
      <c r="F116" s="85" t="n">
        <v>0.25</v>
      </c>
      <c r="G116" s="93" t="inlineStr">
        <is>
          <t xml:space="preserve">Generador de señales </t>
        </is>
      </c>
      <c r="H116" s="91" t="inlineStr">
        <is>
          <t>BK PRECISION</t>
        </is>
      </c>
      <c r="I116" s="98" t="n"/>
      <c r="J116" s="102" t="inlineStr">
        <is>
          <t>65</t>
        </is>
      </c>
      <c r="K116" s="91" t="inlineStr">
        <is>
          <t>MAQUINAS B</t>
        </is>
      </c>
      <c r="L116" s="91" t="inlineStr">
        <is>
          <t>ELECTRONICA DE POTENCIA</t>
        </is>
      </c>
      <c r="M116" s="91" t="inlineStr">
        <is>
          <t>6</t>
        </is>
      </c>
      <c r="N116" s="91" t="inlineStr">
        <is>
          <t>No muestra nada en el display y cuando lo hace muestra solo un 0</t>
        </is>
      </c>
      <c r="O116" s="91" t="n"/>
      <c r="P116" s="87" t="inlineStr">
        <is>
          <t>MICHEL MORA</t>
        </is>
      </c>
      <c r="Q116" s="95" t="n">
        <v>45454</v>
      </c>
      <c r="R116" s="95" t="n"/>
      <c r="S116" s="95" t="n"/>
      <c r="T116" s="91" t="inlineStr">
        <is>
          <t>Falla de conexión del display</t>
        </is>
      </c>
      <c r="U116" s="87" t="inlineStr">
        <is>
          <t>Se hace limpieza interna y se ajustan las conexiones</t>
        </is>
      </c>
      <c r="V116" s="90" t="inlineStr">
        <is>
          <t>Operativo</t>
        </is>
      </c>
      <c r="W116" s="91" t="n"/>
      <c r="X116" s="91" t="n"/>
      <c r="Y116" s="87" t="inlineStr">
        <is>
          <t>Finalizada</t>
        </is>
      </c>
      <c r="Z116" s="87" t="n"/>
      <c r="AA116" s="87" t="inlineStr">
        <is>
          <t>Monitor</t>
        </is>
      </c>
    </row>
    <row r="117" ht="30" customHeight="1" s="157">
      <c r="A117" s="22" t="inlineStr">
        <is>
          <t>S-114</t>
        </is>
      </c>
      <c r="B117" s="83" t="inlineStr">
        <is>
          <t>Alexander Rodriguez</t>
        </is>
      </c>
      <c r="C117" s="101" t="n">
        <v>20181007079</v>
      </c>
      <c r="D117" s="83" t="inlineStr">
        <is>
          <t>MIC</t>
        </is>
      </c>
      <c r="E117" s="84" t="n">
        <v>45350</v>
      </c>
      <c r="F117" s="85" t="n">
        <v>0.5833333333333334</v>
      </c>
      <c r="G117" s="93" t="inlineStr">
        <is>
          <t>MULTIMETRO</t>
        </is>
      </c>
      <c r="H117" s="91" t="inlineStr">
        <is>
          <t>EERASMUS</t>
        </is>
      </c>
      <c r="I117" s="98" t="n"/>
      <c r="J117" s="91" t="n"/>
      <c r="K117" s="91" t="n"/>
      <c r="L117" s="91" t="inlineStr">
        <is>
          <t>CIRCUITOS I</t>
        </is>
      </c>
      <c r="M117" s="91" t="inlineStr">
        <is>
          <t>6</t>
        </is>
      </c>
      <c r="N117" s="91" t="inlineStr">
        <is>
          <t>FUSIBLE DAÑADO MA</t>
        </is>
      </c>
      <c r="O117" s="91" t="n"/>
      <c r="P117" s="87" t="inlineStr">
        <is>
          <t>Diego Jimenez</t>
        </is>
      </c>
      <c r="Q117" s="95" t="n">
        <v>45350</v>
      </c>
      <c r="R117" s="95" t="n"/>
      <c r="S117" s="95" t="n"/>
      <c r="T117" s="91" t="inlineStr">
        <is>
          <t>SE DAÑO EL FUSIBLE POR SOBRECORRIENTE</t>
        </is>
      </c>
      <c r="U117" s="87" t="inlineStr">
        <is>
          <t>CAMBIO DE FUSIBLE DE MA</t>
        </is>
      </c>
      <c r="V117" s="91" t="inlineStr">
        <is>
          <t>Operativo</t>
        </is>
      </c>
      <c r="W117" s="91" t="n"/>
      <c r="X117" s="91" t="n"/>
      <c r="Y117" s="87" t="inlineStr">
        <is>
          <t>Finalizada</t>
        </is>
      </c>
      <c r="Z117" s="87" t="n"/>
      <c r="AA117" s="87" t="inlineStr">
        <is>
          <t>Monitor</t>
        </is>
      </c>
    </row>
    <row r="118" ht="30" customHeight="1" s="157">
      <c r="A118" s="22" t="inlineStr">
        <is>
          <t>S-115</t>
        </is>
      </c>
      <c r="B118" s="83" t="inlineStr">
        <is>
          <t>MARIA FERNANDA LAVERDE</t>
        </is>
      </c>
      <c r="C118" s="101" t="n">
        <v>20212007030</v>
      </c>
      <c r="D118" s="83" t="inlineStr">
        <is>
          <t>MIC</t>
        </is>
      </c>
      <c r="E118" s="84" t="n">
        <v>45392</v>
      </c>
      <c r="F118" s="85" t="n">
        <v>0.4166666666666667</v>
      </c>
      <c r="G118" s="93" t="inlineStr">
        <is>
          <t>MULTIMETRO</t>
        </is>
      </c>
      <c r="H118" s="91" t="n"/>
      <c r="I118" s="98" t="n"/>
      <c r="J118" s="91" t="n"/>
      <c r="K118" s="98" t="n">
        <v>607</v>
      </c>
      <c r="L118" s="91" t="inlineStr">
        <is>
          <t>ELECTRONICA II</t>
        </is>
      </c>
      <c r="M118" s="91" t="inlineStr">
        <is>
          <t>1</t>
        </is>
      </c>
      <c r="N118" s="91" t="inlineStr">
        <is>
          <t>SE QUEMO FUSIBLE DE MA Y UA</t>
        </is>
      </c>
      <c r="O118" s="91" t="n"/>
      <c r="P118" s="87" t="inlineStr">
        <is>
          <t>MICHEL MORA</t>
        </is>
      </c>
      <c r="Q118" s="95" t="n">
        <v>45394</v>
      </c>
      <c r="R118" s="95" t="n"/>
      <c r="S118" s="95" t="n"/>
      <c r="T118" s="91" t="inlineStr">
        <is>
          <t>DAÑO DE FUSIBLE DE MA</t>
        </is>
      </c>
      <c r="U118" s="87" t="inlineStr">
        <is>
          <t>REEMPLAZO DE FUSIBLE DE 500 MA</t>
        </is>
      </c>
      <c r="V118" s="91" t="inlineStr">
        <is>
          <t>Operativo</t>
        </is>
      </c>
      <c r="W118" s="91" t="n"/>
      <c r="X118" s="91" t="n"/>
      <c r="Y118" s="87" t="inlineStr">
        <is>
          <t>Finalizada</t>
        </is>
      </c>
      <c r="Z118" s="87" t="n"/>
      <c r="AA118" s="87" t="inlineStr">
        <is>
          <t>Monitor</t>
        </is>
      </c>
    </row>
    <row r="119" ht="30" customHeight="1" s="157">
      <c r="A119" s="22" t="inlineStr">
        <is>
          <t>S-116</t>
        </is>
      </c>
      <c r="B119" s="83" t="inlineStr">
        <is>
          <t>ANGELA JULIANA HIDALGO</t>
        </is>
      </c>
      <c r="C119" s="101" t="n">
        <v>20202005082</v>
      </c>
      <c r="D119" s="83" t="inlineStr">
        <is>
          <t>MIC</t>
        </is>
      </c>
      <c r="E119" s="84" t="n">
        <v>45433</v>
      </c>
      <c r="F119" s="85" t="n">
        <v>0.04166666666666666</v>
      </c>
      <c r="G119" s="93" t="inlineStr">
        <is>
          <t>PANTALLA</t>
        </is>
      </c>
      <c r="H119" s="91" t="inlineStr">
        <is>
          <t>DELL</t>
        </is>
      </c>
      <c r="I119" s="98" t="n"/>
      <c r="J119" s="91" t="n"/>
      <c r="K119" s="98" t="inlineStr">
        <is>
          <t>CENTRO DE ACOPLE</t>
        </is>
      </c>
      <c r="L119" s="91" t="n"/>
      <c r="M119" s="91" t="n"/>
      <c r="N119" s="91" t="inlineStr">
        <is>
          <t>NO PRENDE</t>
        </is>
      </c>
      <c r="O119" s="91" t="n"/>
      <c r="P119" s="87" t="inlineStr">
        <is>
          <t>MICHEL MORA</t>
        </is>
      </c>
      <c r="Q119" s="95" t="n">
        <v>45433</v>
      </c>
      <c r="R119" s="95" t="n"/>
      <c r="S119" s="95" t="n"/>
      <c r="T119" s="91" t="inlineStr">
        <is>
          <t>EL BOTON DE ENCENDIDO ESTÁ FALLANDO</t>
        </is>
      </c>
      <c r="U119" s="87" t="inlineStr">
        <is>
          <t>SE REPARA EL BOTÓN DE ENCENDIDO</t>
        </is>
      </c>
      <c r="V119" s="91" t="inlineStr">
        <is>
          <t>Operativo</t>
        </is>
      </c>
      <c r="W119" s="91" t="n"/>
      <c r="X119" s="91" t="n"/>
      <c r="Y119" s="87" t="inlineStr">
        <is>
          <t>Finalizada</t>
        </is>
      </c>
      <c r="Z119" s="87" t="n"/>
      <c r="AA119" s="87" t="inlineStr">
        <is>
          <t>Monitor</t>
        </is>
      </c>
    </row>
    <row r="120" ht="45" customHeight="1" s="157">
      <c r="A120" s="22" t="inlineStr">
        <is>
          <t>S-117</t>
        </is>
      </c>
      <c r="B120" s="83" t="inlineStr">
        <is>
          <t>ANDRES FELIPE GARCES</t>
        </is>
      </c>
      <c r="C120" s="101" t="n">
        <v>20191005069</v>
      </c>
      <c r="D120" s="83" t="inlineStr">
        <is>
          <t>MIC</t>
        </is>
      </c>
      <c r="E120" s="84" t="n">
        <v>45449</v>
      </c>
      <c r="F120" s="85" t="n">
        <v>0.5833333333333334</v>
      </c>
      <c r="G120" s="93" t="inlineStr">
        <is>
          <t>TERMOMETRO DIGITAL</t>
        </is>
      </c>
      <c r="H120" s="91" t="inlineStr">
        <is>
          <t>LD</t>
        </is>
      </c>
      <c r="I120" s="98" t="n"/>
      <c r="J120" s="91" t="n"/>
      <c r="K120" s="91" t="n"/>
      <c r="L120" s="91" t="n"/>
      <c r="M120" s="91" t="n"/>
      <c r="N120" s="91" t="inlineStr">
        <is>
          <t>CONFIGURADO EN ESCALA FARENHEI-PASARLO A CELCIUS TAMBIÉN MAL LA ESCALA</t>
        </is>
      </c>
      <c r="O120" s="91" t="n"/>
      <c r="P120" s="87" t="inlineStr">
        <is>
          <t>MICHEL MORA</t>
        </is>
      </c>
      <c r="Q120" s="95" t="n">
        <v>45454</v>
      </c>
      <c r="R120" s="95" t="n"/>
      <c r="S120" s="95" t="n"/>
      <c r="T120" s="91" t="inlineStr">
        <is>
          <t>LA ESCALA (UNIDADES) DE TEMPERATURA FUE CAMBIADA A FARENHEIT</t>
        </is>
      </c>
      <c r="U120" s="87" t="inlineStr">
        <is>
          <t>SE CAMBIAN LAS UNIDADES A CELCIUS PRESIONANDO SIMULTANEAMENTE LOS BOTONES T1-T2 T1-T4</t>
        </is>
      </c>
      <c r="V120" s="91" t="inlineStr">
        <is>
          <t>Operativo</t>
        </is>
      </c>
      <c r="W120" s="91" t="n"/>
      <c r="X120" s="91" t="n"/>
      <c r="Y120" s="87" t="inlineStr">
        <is>
          <t>Finalizada</t>
        </is>
      </c>
      <c r="Z120" s="87" t="n"/>
      <c r="AA120" s="87" t="inlineStr">
        <is>
          <t>Monitor</t>
        </is>
      </c>
    </row>
    <row r="121" ht="45" customHeight="1" s="157">
      <c r="A121" s="22" t="inlineStr">
        <is>
          <t>S-118</t>
        </is>
      </c>
      <c r="B121" s="83" t="inlineStr">
        <is>
          <t>PAULA HUERTAS</t>
        </is>
      </c>
      <c r="C121" s="101" t="n">
        <v>103250794</v>
      </c>
      <c r="D121" s="83" t="inlineStr">
        <is>
          <t>MIC</t>
        </is>
      </c>
      <c r="E121" s="84" t="n">
        <v>45881</v>
      </c>
      <c r="F121" s="85" t="n">
        <v>0.5833333333333334</v>
      </c>
      <c r="G121" s="93" t="n"/>
      <c r="H121" s="91" t="n"/>
      <c r="I121" s="98" t="inlineStr">
        <is>
          <t>410837-410839</t>
        </is>
      </c>
      <c r="J121" s="91" t="n"/>
      <c r="K121" s="98" t="n">
        <v>510</v>
      </c>
      <c r="L121" s="91" t="n"/>
      <c r="M121" s="91" t="n"/>
      <c r="N121" s="91" t="inlineStr">
        <is>
          <t>SE SOLICITA CAMBIO DE MANECILLA PARA GENERACIÓN DE ONDAS</t>
        </is>
      </c>
      <c r="O121" s="91" t="n"/>
      <c r="P121" s="87" t="inlineStr">
        <is>
          <t>Nelson G</t>
        </is>
      </c>
      <c r="Q121" s="95" t="n">
        <v>45884</v>
      </c>
      <c r="R121" s="95" t="n"/>
      <c r="S121" s="95" t="n"/>
      <c r="T121" s="91" t="n"/>
      <c r="U121" s="91" t="inlineStr">
        <is>
          <t>SE REALIZA MIC</t>
        </is>
      </c>
      <c r="V121" s="91" t="inlineStr">
        <is>
          <t>Operativo</t>
        </is>
      </c>
      <c r="W121" s="91" t="n"/>
      <c r="X121" s="91" t="n"/>
      <c r="Y121" s="87" t="inlineStr">
        <is>
          <t>Finalizada</t>
        </is>
      </c>
      <c r="Z121" s="87" t="n"/>
      <c r="AA121" s="87" t="inlineStr">
        <is>
          <t>Monitor</t>
        </is>
      </c>
    </row>
    <row r="122">
      <c r="A122" s="22" t="inlineStr">
        <is>
          <t>S-119</t>
        </is>
      </c>
      <c r="B122" s="83" t="inlineStr">
        <is>
          <t>DANIEL FELIPE PAEZ</t>
        </is>
      </c>
      <c r="C122" s="101" t="n">
        <v>20202005098</v>
      </c>
      <c r="D122" s="83" t="inlineStr">
        <is>
          <t>MIC</t>
        </is>
      </c>
      <c r="E122" s="84" t="n">
        <v>46150</v>
      </c>
      <c r="F122" s="85" t="n">
        <v>0.25</v>
      </c>
      <c r="G122" s="93" t="inlineStr">
        <is>
          <t>FUENTE DC</t>
        </is>
      </c>
      <c r="H122" s="91" t="inlineStr">
        <is>
          <t>PEAKTECH</t>
        </is>
      </c>
      <c r="I122" s="98" t="n"/>
      <c r="J122" s="91" t="n"/>
      <c r="K122" s="98" t="n">
        <v>604</v>
      </c>
      <c r="L122" s="91" t="inlineStr">
        <is>
          <t>ADICIONAL</t>
        </is>
      </c>
      <c r="M122" s="91" t="inlineStr">
        <is>
          <t>1</t>
        </is>
      </c>
      <c r="N122" s="91" t="n"/>
      <c r="O122" s="91" t="n"/>
      <c r="P122" s="87" t="inlineStr">
        <is>
          <t>Nelson G</t>
        </is>
      </c>
      <c r="Q122" s="95" t="n">
        <v>46150</v>
      </c>
      <c r="R122" s="95" t="n"/>
      <c r="S122" s="95" t="n"/>
      <c r="T122" s="91" t="inlineStr">
        <is>
          <t>BLOQUEO CONTROL FUENTE 1</t>
        </is>
      </c>
      <c r="U122" s="87" t="inlineStr">
        <is>
          <t>RESET OK</t>
        </is>
      </c>
      <c r="V122" s="91" t="inlineStr">
        <is>
          <t>Operativo</t>
        </is>
      </c>
      <c r="W122" s="91" t="n"/>
      <c r="X122" s="91" t="n"/>
      <c r="Y122" s="87" t="inlineStr">
        <is>
          <t>Finalizada</t>
        </is>
      </c>
      <c r="Z122" s="87" t="n"/>
      <c r="AA122" s="87" t="inlineStr">
        <is>
          <t>Monitor</t>
        </is>
      </c>
    </row>
    <row r="123" ht="30" customHeight="1" s="157">
      <c r="A123" s="22" t="inlineStr">
        <is>
          <t>S-120</t>
        </is>
      </c>
      <c r="B123" s="83" t="inlineStr">
        <is>
          <t>SANTIAGO OSSA VARON</t>
        </is>
      </c>
      <c r="C123" s="101" t="n">
        <v>1016113155</v>
      </c>
      <c r="D123" s="83" t="inlineStr">
        <is>
          <t>MIC</t>
        </is>
      </c>
      <c r="E123" s="84" t="n">
        <v>46151</v>
      </c>
      <c r="F123" s="85" t="n"/>
      <c r="G123" s="93" t="inlineStr">
        <is>
          <t>MULTIMETRO DIGITAL</t>
        </is>
      </c>
      <c r="H123" s="91" t="inlineStr">
        <is>
          <t>ERASMUS</t>
        </is>
      </c>
      <c r="I123" s="98" t="n"/>
      <c r="J123" s="91" t="inlineStr">
        <is>
          <t>31</t>
        </is>
      </c>
      <c r="K123" s="98" t="n">
        <v>504</v>
      </c>
      <c r="L123" s="91" t="n"/>
      <c r="M123" s="91" t="n"/>
      <c r="N123" s="91" t="inlineStr">
        <is>
          <t>PRESENTA DAÑO EN DIODO D5</t>
        </is>
      </c>
      <c r="O123" s="91" t="n"/>
      <c r="P123" s="87" t="inlineStr">
        <is>
          <t>Nelson G</t>
        </is>
      </c>
      <c r="Q123" s="95" t="n">
        <v>46155</v>
      </c>
      <c r="R123" s="95" t="n"/>
      <c r="S123" s="95" t="n"/>
      <c r="T123" s="91" t="inlineStr">
        <is>
          <t>SE REALIZA MIC</t>
        </is>
      </c>
      <c r="U123" s="87" t="inlineStr">
        <is>
          <t>SE INTERCAMBIA POR MULTIMETRO N 99</t>
        </is>
      </c>
      <c r="V123" s="91" t="inlineStr">
        <is>
          <t>Operativo</t>
        </is>
      </c>
      <c r="W123" s="91" t="n"/>
      <c r="X123" s="91" t="n"/>
      <c r="Y123" s="87" t="inlineStr">
        <is>
          <t>Finalizada</t>
        </is>
      </c>
      <c r="Z123" s="87" t="n"/>
      <c r="AA123" s="87" t="inlineStr">
        <is>
          <t>Monitor</t>
        </is>
      </c>
    </row>
    <row r="124" ht="60" customHeight="1" s="157">
      <c r="A124" s="22" t="inlineStr">
        <is>
          <t>S-121</t>
        </is>
      </c>
      <c r="B124" s="83" t="inlineStr">
        <is>
          <t>JUAN ESTEBAN SIERRA</t>
        </is>
      </c>
      <c r="C124" s="101" t="n">
        <v>20211005067</v>
      </c>
      <c r="D124" s="83" t="inlineStr">
        <is>
          <t>MIC</t>
        </is>
      </c>
      <c r="E124" s="84" t="n">
        <v>43934</v>
      </c>
      <c r="F124" s="85" t="n">
        <v>0.5</v>
      </c>
      <c r="G124" s="93" t="inlineStr">
        <is>
          <t>MULTIMETRO</t>
        </is>
      </c>
      <c r="H124" s="91" t="n"/>
      <c r="I124" s="98" t="n"/>
      <c r="J124" s="91" t="inlineStr">
        <is>
          <t>19</t>
        </is>
      </c>
      <c r="K124" s="98" t="n">
        <v>604</v>
      </c>
      <c r="L124" s="91" t="inlineStr">
        <is>
          <t>ADICIONAL</t>
        </is>
      </c>
      <c r="M124" s="91" t="inlineStr">
        <is>
          <t>6</t>
        </is>
      </c>
      <c r="N124" s="91" t="inlineStr">
        <is>
          <t>LA BORNERA NO ESTA HACIENDO BUEN CONTACTO CON 1 A (SE REEMPLAZA POR MULTIMETRO # 30</t>
        </is>
      </c>
      <c r="O124" s="91" t="n"/>
      <c r="P124" s="87" t="inlineStr">
        <is>
          <t>Nelson G</t>
        </is>
      </c>
      <c r="Q124" s="95" t="n">
        <v>46126</v>
      </c>
      <c r="R124" s="95" t="n"/>
      <c r="S124" s="95" t="n"/>
      <c r="T124" s="91" t="n"/>
      <c r="U124" s="91" t="inlineStr">
        <is>
          <t>SE REALIZA MIC</t>
        </is>
      </c>
      <c r="V124" s="91" t="inlineStr">
        <is>
          <t>Operativo</t>
        </is>
      </c>
      <c r="W124" s="91" t="n"/>
      <c r="X124" s="91" t="n"/>
      <c r="Y124" s="87" t="inlineStr">
        <is>
          <t>Finalizada</t>
        </is>
      </c>
      <c r="Z124" s="87" t="n"/>
      <c r="AA124" s="87" t="inlineStr">
        <is>
          <t>Monitor</t>
        </is>
      </c>
    </row>
    <row r="125" ht="60" customHeight="1" s="157">
      <c r="A125" s="22" t="inlineStr">
        <is>
          <t>S-122</t>
        </is>
      </c>
      <c r="B125" s="83" t="inlineStr">
        <is>
          <t>ANDERSON STIVEN GUTIERREZ</t>
        </is>
      </c>
      <c r="C125" s="101" t="n">
        <v>20231005137</v>
      </c>
      <c r="D125" s="83" t="inlineStr">
        <is>
          <t>MIC</t>
        </is>
      </c>
      <c r="E125" s="84" t="n">
        <v>46119</v>
      </c>
      <c r="F125" s="85" t="n">
        <v>0.3333333333333333</v>
      </c>
      <c r="G125" s="93" t="inlineStr">
        <is>
          <t>OSCILOSCOPIO</t>
        </is>
      </c>
      <c r="H125" s="91" t="inlineStr">
        <is>
          <t>RIGOL</t>
        </is>
      </c>
      <c r="I125" s="98" t="n"/>
      <c r="J125" s="91" t="inlineStr">
        <is>
          <t>26</t>
        </is>
      </c>
      <c r="K125" s="98" t="n">
        <v>604</v>
      </c>
      <c r="L125" s="91" t="inlineStr">
        <is>
          <t>CIRCUITOS I</t>
        </is>
      </c>
      <c r="M125" s="91" t="inlineStr">
        <is>
          <t>5</t>
        </is>
      </c>
      <c r="N125" s="91" t="inlineStr">
        <is>
          <t>EL TABLERO NO FUNCIONA Y LA ENTRADA DE CONEXIÓN TOCA MOVERLO. SE REEMPLAZA POR EL OSCILOSCOPIO DE ALMACEN</t>
        </is>
      </c>
      <c r="O125" s="91" t="n"/>
      <c r="P125" s="87" t="inlineStr">
        <is>
          <t>Nelson G</t>
        </is>
      </c>
      <c r="Q125" s="95" t="n">
        <v>46125</v>
      </c>
      <c r="R125" s="95" t="n"/>
      <c r="S125" s="95" t="n"/>
      <c r="T125" s="91" t="n"/>
      <c r="U125" s="91" t="inlineStr">
        <is>
          <t>SE REALIZA MIC</t>
        </is>
      </c>
      <c r="V125" s="91" t="inlineStr">
        <is>
          <t>Operativo</t>
        </is>
      </c>
      <c r="W125" s="91" t="n"/>
      <c r="X125" s="91" t="n"/>
      <c r="Y125" s="87" t="inlineStr">
        <is>
          <t>Finalizada</t>
        </is>
      </c>
      <c r="Z125" s="87" t="n"/>
      <c r="AA125" s="87" t="inlineStr">
        <is>
          <t>Monitor</t>
        </is>
      </c>
    </row>
    <row r="126" ht="45" customHeight="1" s="157">
      <c r="A126" s="22" t="inlineStr">
        <is>
          <t>S-123</t>
        </is>
      </c>
      <c r="B126" s="83" t="inlineStr">
        <is>
          <t>LUIS MIGUEL AREVALO</t>
        </is>
      </c>
      <c r="C126" s="101" t="n">
        <v>20192005098</v>
      </c>
      <c r="D126" s="83" t="inlineStr">
        <is>
          <t>MIC</t>
        </is>
      </c>
      <c r="E126" s="84" t="n">
        <v>45749</v>
      </c>
      <c r="F126" s="85" t="n">
        <v>0.5</v>
      </c>
      <c r="G126" s="93" t="inlineStr">
        <is>
          <t>FUENTE DE ALIMENTACIÓN LABEL</t>
        </is>
      </c>
      <c r="H126" s="91" t="inlineStr">
        <is>
          <t>LABEL</t>
        </is>
      </c>
      <c r="I126" s="98" t="n"/>
      <c r="J126" s="91" t="inlineStr">
        <is>
          <t>725852D</t>
        </is>
      </c>
      <c r="K126" s="98" t="n">
        <v>605</v>
      </c>
      <c r="L126" s="91" t="n"/>
      <c r="M126" s="91" t="inlineStr">
        <is>
          <t>3C</t>
        </is>
      </c>
      <c r="N126" s="91" t="inlineStr">
        <is>
          <t>LA FUENTE DE ALIMENTACIÓN NO CAMBIA DE VOLTAJE, SE QUEDO FIJA</t>
        </is>
      </c>
      <c r="O126" s="91" t="n"/>
      <c r="P126" s="87" t="inlineStr">
        <is>
          <t>Nelson G</t>
        </is>
      </c>
      <c r="Q126" s="95" t="n">
        <v>45754</v>
      </c>
      <c r="R126" s="95" t="n"/>
      <c r="S126" s="95" t="n"/>
      <c r="T126" s="91" t="n"/>
      <c r="U126" s="91" t="inlineStr">
        <is>
          <t>SE REALIZA MIC</t>
        </is>
      </c>
      <c r="V126" s="91" t="inlineStr">
        <is>
          <t>Operativo</t>
        </is>
      </c>
      <c r="W126" s="91" t="n"/>
      <c r="X126" s="91" t="n"/>
      <c r="Y126" s="87" t="inlineStr">
        <is>
          <t>Finalizada</t>
        </is>
      </c>
      <c r="Z126" s="87" t="n"/>
      <c r="AA126" s="87" t="inlineStr">
        <is>
          <t>Monitor</t>
        </is>
      </c>
    </row>
    <row r="127" ht="45" customHeight="1" s="157">
      <c r="A127" s="22" t="inlineStr">
        <is>
          <t>S-124</t>
        </is>
      </c>
      <c r="B127" s="83" t="inlineStr">
        <is>
          <t>PAULA HUERTAS</t>
        </is>
      </c>
      <c r="C127" s="101" t="n">
        <v>103250794</v>
      </c>
      <c r="D127" s="83" t="inlineStr">
        <is>
          <t>MIC</t>
        </is>
      </c>
      <c r="E127" s="84" t="n">
        <v>45881</v>
      </c>
      <c r="F127" s="85" t="n">
        <v>0.5833333333333334</v>
      </c>
      <c r="G127" s="93" t="n"/>
      <c r="H127" s="91" t="inlineStr">
        <is>
          <t>LDIDACTIC</t>
        </is>
      </c>
      <c r="I127" s="98" t="inlineStr">
        <is>
          <t>410829-410838</t>
        </is>
      </c>
      <c r="J127" s="91" t="inlineStr">
        <is>
          <t>57943</t>
        </is>
      </c>
      <c r="K127" s="98" t="n">
        <v>510</v>
      </c>
      <c r="L127" s="91" t="n"/>
      <c r="M127" s="91" t="n"/>
      <c r="N127" s="91" t="inlineStr">
        <is>
          <t>SE SOLICITA CAMBIO DE MANECILLA PARA GENERACIÓN DE ONDAS</t>
        </is>
      </c>
      <c r="O127" s="91" t="n"/>
      <c r="P127" s="87" t="inlineStr">
        <is>
          <t>Nelson G</t>
        </is>
      </c>
      <c r="Q127" s="95" t="n">
        <v>45884</v>
      </c>
      <c r="R127" s="95" t="n"/>
      <c r="S127" s="95" t="n"/>
      <c r="T127" s="91" t="n"/>
      <c r="U127" s="91" t="inlineStr">
        <is>
          <t>SE REALIZA MIC</t>
        </is>
      </c>
      <c r="V127" s="91" t="inlineStr">
        <is>
          <t>Operativo</t>
        </is>
      </c>
      <c r="W127" s="91" t="n"/>
      <c r="X127" s="91" t="n"/>
      <c r="Y127" s="87" t="inlineStr">
        <is>
          <t>Finalizada</t>
        </is>
      </c>
      <c r="Z127" s="87" t="n"/>
      <c r="AA127" s="87" t="inlineStr">
        <is>
          <t>Monitor</t>
        </is>
      </c>
    </row>
    <row r="128" ht="30" customHeight="1" s="157">
      <c r="A128" s="22" t="inlineStr">
        <is>
          <t>S-125</t>
        </is>
      </c>
      <c r="B128" s="83" t="inlineStr">
        <is>
          <t>Jeisson Ivan Sanchez Casallas</t>
        </is>
      </c>
      <c r="C128" s="101" t="n">
        <v>20191005115</v>
      </c>
      <c r="D128" s="83" t="inlineStr">
        <is>
          <t>MIC</t>
        </is>
      </c>
      <c r="E128" s="84" t="n">
        <v>46136</v>
      </c>
      <c r="F128" s="85" t="n">
        <v>0.3333333333333333</v>
      </c>
      <c r="G128" s="93" t="inlineStr">
        <is>
          <t>VARIAC</t>
        </is>
      </c>
      <c r="H128" s="91" t="inlineStr">
        <is>
          <t>LABEL</t>
        </is>
      </c>
      <c r="I128" s="98" t="n"/>
      <c r="J128" s="91" t="inlineStr">
        <is>
          <t>3</t>
        </is>
      </c>
      <c r="K128" s="98" t="n"/>
      <c r="L128" s="91" t="inlineStr">
        <is>
          <t>TELEVISIÓN</t>
        </is>
      </c>
      <c r="M128" s="91" t="n"/>
      <c r="N128" s="91" t="inlineStr">
        <is>
          <t>FUSIBLE DAÑADO</t>
        </is>
      </c>
      <c r="O128" s="91" t="n"/>
      <c r="P128" s="87" t="inlineStr">
        <is>
          <t>Nelson G</t>
        </is>
      </c>
      <c r="Q128" s="95" t="n">
        <v>46139</v>
      </c>
      <c r="R128" s="95" t="n"/>
      <c r="S128" s="95" t="n"/>
      <c r="T128" s="91" t="n"/>
      <c r="U128" s="87" t="inlineStr">
        <is>
          <t>SE RELIZA MANTENIMIENTO OPERATIVO</t>
        </is>
      </c>
      <c r="V128" s="91" t="inlineStr">
        <is>
          <t>Operativo</t>
        </is>
      </c>
      <c r="W128" s="91" t="n"/>
      <c r="X128" s="91" t="n"/>
      <c r="Y128" s="87" t="inlineStr">
        <is>
          <t>Finalizada</t>
        </is>
      </c>
      <c r="Z128" s="87" t="n"/>
      <c r="AA128" s="87" t="inlineStr">
        <is>
          <t>Monitor</t>
        </is>
      </c>
    </row>
    <row r="129">
      <c r="A129" s="22" t="inlineStr">
        <is>
          <t>S-126</t>
        </is>
      </c>
      <c r="B129" s="83" t="inlineStr">
        <is>
          <t>EDWIN NIÑO</t>
        </is>
      </c>
      <c r="C129" s="101" t="n">
        <v>20181007020</v>
      </c>
      <c r="D129" s="83" t="inlineStr">
        <is>
          <t>MIC</t>
        </is>
      </c>
      <c r="E129" s="84" t="n">
        <v>45546</v>
      </c>
      <c r="F129" s="85" t="n"/>
      <c r="G129" s="93" t="inlineStr">
        <is>
          <t>MULTIMETRO</t>
        </is>
      </c>
      <c r="H129" s="91" t="inlineStr">
        <is>
          <t>ERASMUS</t>
        </is>
      </c>
      <c r="I129" s="98" t="n"/>
      <c r="J129" s="91" t="inlineStr">
        <is>
          <t>93</t>
        </is>
      </c>
      <c r="K129" s="98" t="n"/>
      <c r="L129" s="91" t="n"/>
      <c r="M129" s="91" t="n"/>
      <c r="N129" s="91" t="inlineStr">
        <is>
          <t>CARCASA DAÑADA</t>
        </is>
      </c>
      <c r="O129" s="91" t="n"/>
      <c r="P129" s="87" t="inlineStr">
        <is>
          <t>Nelson G</t>
        </is>
      </c>
      <c r="Q129" s="95" t="n">
        <v>45397</v>
      </c>
      <c r="R129" s="95" t="n"/>
      <c r="S129" s="95" t="n"/>
      <c r="T129" s="91" t="inlineStr">
        <is>
          <t>CARCASA DAÑADA</t>
        </is>
      </c>
      <c r="U129" s="87" t="inlineStr">
        <is>
          <t>CAMBIO DE CARCASA</t>
        </is>
      </c>
      <c r="V129" s="91" t="inlineStr">
        <is>
          <t>Operativo</t>
        </is>
      </c>
      <c r="W129" s="91" t="n"/>
      <c r="X129" s="91" t="n"/>
      <c r="Y129" s="87" t="inlineStr">
        <is>
          <t>Finalizada</t>
        </is>
      </c>
      <c r="Z129" s="87" t="n"/>
      <c r="AA129" s="87" t="inlineStr">
        <is>
          <t>Monitor</t>
        </is>
      </c>
    </row>
    <row r="130" ht="30" customHeight="1" s="157">
      <c r="A130" s="22" t="inlineStr">
        <is>
          <t>S-127</t>
        </is>
      </c>
      <c r="B130" s="83" t="inlineStr">
        <is>
          <t>CRISTIAN DAVID BARRAGAN</t>
        </is>
      </c>
      <c r="C130" s="101" t="n">
        <v>20211005074</v>
      </c>
      <c r="D130" s="83" t="inlineStr">
        <is>
          <t>MIC</t>
        </is>
      </c>
      <c r="E130" s="84" t="n">
        <v>45834</v>
      </c>
      <c r="F130" s="85" t="n">
        <v>0.375</v>
      </c>
      <c r="G130" s="93" t="inlineStr">
        <is>
          <t>FUENTE</t>
        </is>
      </c>
      <c r="H130" s="91" t="inlineStr">
        <is>
          <t>PEAKTECH</t>
        </is>
      </c>
      <c r="I130" s="91" t="inlineStr">
        <is>
          <t>090166408</t>
        </is>
      </c>
      <c r="J130" s="91" t="n"/>
      <c r="K130" s="98" t="n">
        <v>604</v>
      </c>
      <c r="L130" s="91" t="inlineStr">
        <is>
          <t>ADICIONAL</t>
        </is>
      </c>
      <c r="M130" s="91" t="inlineStr">
        <is>
          <t>1</t>
        </is>
      </c>
      <c r="N130" s="91" t="inlineStr">
        <is>
          <t>PRESENTA RIZADO EN EL PRIMER CANAL</t>
        </is>
      </c>
      <c r="O130" s="91" t="n"/>
      <c r="P130" s="87" t="inlineStr">
        <is>
          <t>Nelson G</t>
        </is>
      </c>
      <c r="Q130" s="95" t="n">
        <v>45839</v>
      </c>
      <c r="R130" s="95" t="n"/>
      <c r="S130" s="95" t="n"/>
      <c r="T130" s="91" t="n"/>
      <c r="U130" s="91" t="inlineStr">
        <is>
          <t>SE REALIZA MIC</t>
        </is>
      </c>
      <c r="V130" s="91" t="inlineStr">
        <is>
          <t>Operativo</t>
        </is>
      </c>
      <c r="W130" s="91" t="n"/>
      <c r="X130" s="91" t="n"/>
      <c r="Y130" s="87" t="inlineStr">
        <is>
          <t>Finalizada</t>
        </is>
      </c>
      <c r="Z130" s="87" t="n"/>
      <c r="AA130" s="87" t="inlineStr">
        <is>
          <t>Monitor</t>
        </is>
      </c>
    </row>
    <row r="131" ht="30" customHeight="1" s="157">
      <c r="A131" s="22" t="inlineStr">
        <is>
          <t>S-128</t>
        </is>
      </c>
      <c r="B131" s="83" t="inlineStr">
        <is>
          <t>CARLOS RODRIGUEZ</t>
        </is>
      </c>
      <c r="C131" s="101" t="n">
        <v>20202005104</v>
      </c>
      <c r="D131" s="83" t="inlineStr">
        <is>
          <t>MIC</t>
        </is>
      </c>
      <c r="E131" s="84" t="n">
        <v>45840</v>
      </c>
      <c r="F131" s="85" t="n">
        <v>0.7694444444444445</v>
      </c>
      <c r="G131" s="93" t="inlineStr">
        <is>
          <t>FUENTE DC</t>
        </is>
      </c>
      <c r="H131" s="91" t="inlineStr">
        <is>
          <t>PEAKTECH</t>
        </is>
      </c>
      <c r="I131" s="98" t="n"/>
      <c r="J131" s="91" t="inlineStr">
        <is>
          <t>20</t>
        </is>
      </c>
      <c r="K131" s="98" t="n">
        <v>603</v>
      </c>
      <c r="L131" s="91" t="inlineStr">
        <is>
          <t>ADICIONAL</t>
        </is>
      </c>
      <c r="M131" s="91" t="n"/>
      <c r="N131" s="91" t="inlineStr">
        <is>
          <t>FUENTE EN CORTO</t>
        </is>
      </c>
      <c r="O131" s="91" t="n"/>
      <c r="P131" s="87" t="inlineStr">
        <is>
          <t>Nelson G</t>
        </is>
      </c>
      <c r="Q131" s="95" t="n"/>
      <c r="R131" s="95" t="n"/>
      <c r="S131" s="95" t="n"/>
      <c r="T131" s="91" t="n"/>
      <c r="U131" s="87" t="n"/>
      <c r="V131" s="91" t="inlineStr">
        <is>
          <t>Operativo</t>
        </is>
      </c>
      <c r="W131" s="91" t="n"/>
      <c r="X131" s="91" t="n"/>
      <c r="Y131" s="87" t="inlineStr">
        <is>
          <t>Finalizada</t>
        </is>
      </c>
      <c r="Z131" s="87" t="n"/>
      <c r="AA131" s="87" t="inlineStr">
        <is>
          <t>Monitor</t>
        </is>
      </c>
    </row>
    <row r="132" ht="30" customHeight="1" s="157">
      <c r="A132" s="22" t="inlineStr">
        <is>
          <t>S-129</t>
        </is>
      </c>
      <c r="B132" s="83" t="inlineStr">
        <is>
          <t>YOVANI ANDRES BABATIVA</t>
        </is>
      </c>
      <c r="C132" s="101" t="n">
        <v>20191007117</v>
      </c>
      <c r="D132" s="83" t="inlineStr">
        <is>
          <t>MIC</t>
        </is>
      </c>
      <c r="E132" s="84" t="n">
        <v>45732</v>
      </c>
      <c r="F132" s="85" t="n"/>
      <c r="G132" s="93" t="inlineStr">
        <is>
          <t xml:space="preserve">Generador de señales </t>
        </is>
      </c>
      <c r="H132" s="91" t="inlineStr">
        <is>
          <t>PEAKTECH</t>
        </is>
      </c>
      <c r="I132" s="98" t="n"/>
      <c r="J132" s="91" t="inlineStr">
        <is>
          <t>29</t>
        </is>
      </c>
      <c r="K132" s="98" t="n"/>
      <c r="L132" s="91" t="inlineStr">
        <is>
          <t>ELECTRONICA ANALOGICA</t>
        </is>
      </c>
      <c r="M132" s="91" t="n"/>
      <c r="N132" s="91" t="inlineStr">
        <is>
          <t>SALE LA SEÑAL DISTORSIONADA AL SUBIR EL VOLTAJE</t>
        </is>
      </c>
      <c r="O132" s="91" t="n"/>
      <c r="P132" s="87" t="inlineStr">
        <is>
          <t>Nelson G</t>
        </is>
      </c>
      <c r="Q132" s="95" t="n">
        <v>45748</v>
      </c>
      <c r="R132" s="95" t="n"/>
      <c r="S132" s="95" t="n"/>
      <c r="T132" s="91" t="n"/>
      <c r="U132" s="91" t="inlineStr">
        <is>
          <t>SE REALIZA MIC</t>
        </is>
      </c>
      <c r="V132" s="91" t="inlineStr">
        <is>
          <t>Operativo</t>
        </is>
      </c>
      <c r="W132" s="91" t="n"/>
      <c r="X132" s="91" t="n"/>
      <c r="Y132" s="87" t="inlineStr">
        <is>
          <t>Finalizada</t>
        </is>
      </c>
      <c r="Z132" s="87" t="n"/>
      <c r="AA132" s="87" t="inlineStr">
        <is>
          <t>Monitor</t>
        </is>
      </c>
    </row>
    <row r="133" ht="60" customHeight="1" s="157">
      <c r="A133" s="22" t="inlineStr">
        <is>
          <t>S-130</t>
        </is>
      </c>
      <c r="B133" s="83" t="inlineStr">
        <is>
          <t>CINILFREDO MESA SANCHEZ</t>
        </is>
      </c>
      <c r="C133" s="101" t="n">
        <v>20202007069</v>
      </c>
      <c r="D133" s="83" t="inlineStr">
        <is>
          <t>MIC</t>
        </is>
      </c>
      <c r="E133" s="84" t="n">
        <v>45931</v>
      </c>
      <c r="F133" s="85" t="n">
        <v>0.3506944444444444</v>
      </c>
      <c r="G133" s="93" t="inlineStr">
        <is>
          <t xml:space="preserve">Generador de señales </t>
        </is>
      </c>
      <c r="H133" s="91" t="inlineStr">
        <is>
          <t>PEAKTECH</t>
        </is>
      </c>
      <c r="I133" s="98" t="n"/>
      <c r="J133" s="91" t="inlineStr">
        <is>
          <t>19</t>
        </is>
      </c>
      <c r="K133" s="98" t="n">
        <v>604</v>
      </c>
      <c r="L133" s="91" t="inlineStr">
        <is>
          <t>ELECTRONICA ANALOGICA</t>
        </is>
      </c>
      <c r="M133" s="91" t="inlineStr">
        <is>
          <t>3</t>
        </is>
      </c>
      <c r="N133" s="91" t="inlineStr">
        <is>
          <t>GENERADOR DE SEÑALES PRESENTA PROBLEMA GENERANDO LAS SEÑALES, PRESENTA SATURACIÓN</t>
        </is>
      </c>
      <c r="O133" s="91" t="n"/>
      <c r="P133" s="87" t="inlineStr">
        <is>
          <t>Nelson G</t>
        </is>
      </c>
      <c r="Q133" s="95" t="n">
        <v>45936</v>
      </c>
      <c r="R133" s="95" t="n"/>
      <c r="S133" s="95" t="n"/>
      <c r="T133" s="91" t="n"/>
      <c r="U133" s="91" t="inlineStr">
        <is>
          <t>SE REALIZA MIC</t>
        </is>
      </c>
      <c r="V133" s="91" t="inlineStr">
        <is>
          <t>Operativo</t>
        </is>
      </c>
      <c r="W133" s="91" t="n"/>
      <c r="X133" s="91" t="n"/>
      <c r="Y133" s="87" t="inlineStr">
        <is>
          <t>Finalizada</t>
        </is>
      </c>
      <c r="Z133" s="87" t="n"/>
      <c r="AA133" s="87" t="inlineStr">
        <is>
          <t>Monitor</t>
        </is>
      </c>
    </row>
    <row r="134" ht="45" customHeight="1" s="157">
      <c r="A134" s="22" t="inlineStr">
        <is>
          <t>S-131</t>
        </is>
      </c>
      <c r="B134" s="83" t="inlineStr">
        <is>
          <t>ANDERSON STIVEN GUTIERREZ</t>
        </is>
      </c>
      <c r="C134" s="101" t="n">
        <v>20231005237</v>
      </c>
      <c r="D134" s="83" t="inlineStr">
        <is>
          <t>MIC</t>
        </is>
      </c>
      <c r="E134" s="84" t="n">
        <v>46099</v>
      </c>
      <c r="F134" s="85" t="n">
        <v>0.3333333333333333</v>
      </c>
      <c r="G134" s="93" t="inlineStr">
        <is>
          <t>FUENTE DUEL</t>
        </is>
      </c>
      <c r="H134" s="91" t="inlineStr">
        <is>
          <t>PEAKTECH</t>
        </is>
      </c>
      <c r="I134" s="98" t="n"/>
      <c r="J134" s="91" t="inlineStr">
        <is>
          <t>16</t>
        </is>
      </c>
      <c r="K134" s="98" t="n">
        <v>604</v>
      </c>
      <c r="L134" s="91" t="inlineStr">
        <is>
          <t>ADICIONAL</t>
        </is>
      </c>
      <c r="M134" s="91" t="inlineStr">
        <is>
          <t>6</t>
        </is>
      </c>
      <c r="N134" s="91" t="inlineStr">
        <is>
          <t>LA FUENTE DEL LADO IZQUIERDO VARIA Y SU VOLTAJE PICO ES DE 53V</t>
        </is>
      </c>
      <c r="O134" s="91" t="n"/>
      <c r="P134" s="87" t="inlineStr">
        <is>
          <t>Nelson G</t>
        </is>
      </c>
      <c r="Q134" s="95" t="n">
        <v>46105</v>
      </c>
      <c r="R134" s="95" t="n"/>
      <c r="S134" s="95" t="n"/>
      <c r="T134" s="91" t="n"/>
      <c r="U134" s="91" t="inlineStr">
        <is>
          <t>SE REALIZA MIC</t>
        </is>
      </c>
      <c r="V134" s="91" t="inlineStr">
        <is>
          <t>Operativo</t>
        </is>
      </c>
      <c r="W134" s="91" t="n"/>
      <c r="X134" s="91" t="n"/>
      <c r="Y134" s="87" t="inlineStr">
        <is>
          <t>Finalizada</t>
        </is>
      </c>
      <c r="Z134" s="87" t="n"/>
      <c r="AA134" s="87" t="inlineStr">
        <is>
          <t>Monitor</t>
        </is>
      </c>
    </row>
    <row r="135" ht="45" customHeight="1" s="157">
      <c r="A135" s="22" t="inlineStr">
        <is>
          <t>S-132</t>
        </is>
      </c>
      <c r="B135" s="83" t="inlineStr">
        <is>
          <t xml:space="preserve">FABIAN GARCIA </t>
        </is>
      </c>
      <c r="C135" s="101" t="n">
        <v>20211005138</v>
      </c>
      <c r="D135" s="83" t="inlineStr">
        <is>
          <t>MIC</t>
        </is>
      </c>
      <c r="E135" s="84" t="n">
        <v>45349</v>
      </c>
      <c r="F135" s="85" t="n">
        <v>0.4583333333333333</v>
      </c>
      <c r="G135" s="93" t="inlineStr">
        <is>
          <t>OSCILOSCOPIO</t>
        </is>
      </c>
      <c r="H135" s="91" t="inlineStr">
        <is>
          <t>RIGOL</t>
        </is>
      </c>
      <c r="I135" s="98" t="n"/>
      <c r="J135" s="91" t="inlineStr">
        <is>
          <t>32</t>
        </is>
      </c>
      <c r="K135" s="98" t="n">
        <v>604</v>
      </c>
      <c r="L135" s="91" t="inlineStr">
        <is>
          <t>ADICIONAL</t>
        </is>
      </c>
      <c r="M135" s="91" t="inlineStr">
        <is>
          <t>7</t>
        </is>
      </c>
      <c r="N135" s="91" t="inlineStr">
        <is>
          <t>EL CANAL 1 NO ESTA MOSTRANDO LA SEÑAL COMO DEBERIA</t>
        </is>
      </c>
      <c r="O135" s="91" t="n"/>
      <c r="P135" s="87" t="inlineStr">
        <is>
          <t>Nelson G</t>
        </is>
      </c>
      <c r="Q135" s="95" t="n">
        <v>45355</v>
      </c>
      <c r="R135" s="95" t="n"/>
      <c r="S135" s="95" t="n"/>
      <c r="T135" s="91" t="n"/>
      <c r="U135" s="91" t="inlineStr">
        <is>
          <t>SE REALIZA MIC</t>
        </is>
      </c>
      <c r="V135" s="91" t="inlineStr">
        <is>
          <t>Operativo</t>
        </is>
      </c>
      <c r="W135" s="91" t="n"/>
      <c r="X135" s="91" t="n"/>
      <c r="Y135" s="87" t="inlineStr">
        <is>
          <t>Finalizada</t>
        </is>
      </c>
      <c r="Z135" s="87" t="n"/>
      <c r="AA135" s="87" t="inlineStr">
        <is>
          <t>Monitor</t>
        </is>
      </c>
    </row>
    <row r="136">
      <c r="A136" s="22" t="inlineStr">
        <is>
          <t>S-133</t>
        </is>
      </c>
      <c r="B136" s="83" t="inlineStr">
        <is>
          <t>EDWIN NIÑO</t>
        </is>
      </c>
      <c r="C136" s="101" t="n">
        <v>20181007020</v>
      </c>
      <c r="D136" s="83" t="inlineStr">
        <is>
          <t>MIC</t>
        </is>
      </c>
      <c r="E136" s="84" t="n">
        <v>45546</v>
      </c>
      <c r="F136" s="85" t="n"/>
      <c r="G136" s="93" t="inlineStr">
        <is>
          <t>MULTIMETRO</t>
        </is>
      </c>
      <c r="H136" s="91" t="inlineStr">
        <is>
          <t>ERASMUS</t>
        </is>
      </c>
      <c r="I136" s="98" t="n"/>
      <c r="J136" s="91" t="inlineStr">
        <is>
          <t>31</t>
        </is>
      </c>
      <c r="K136" s="98" t="n"/>
      <c r="L136" s="91" t="n"/>
      <c r="M136" s="91" t="n"/>
      <c r="N136" s="91" t="inlineStr">
        <is>
          <t>CARCASA DAÑADA</t>
        </is>
      </c>
      <c r="O136" s="87" t="inlineStr">
        <is>
          <t>Nelson G</t>
        </is>
      </c>
      <c r="P136" s="87" t="inlineStr">
        <is>
          <t>Nelson G</t>
        </is>
      </c>
      <c r="Q136" s="95" t="n">
        <v>45397</v>
      </c>
      <c r="R136" s="95" t="n"/>
      <c r="S136" s="95" t="n"/>
      <c r="T136" s="91" t="inlineStr">
        <is>
          <t>CARCASA DAÑADA</t>
        </is>
      </c>
      <c r="U136" s="87" t="inlineStr">
        <is>
          <t>CAMBIO DE CARCASA</t>
        </is>
      </c>
      <c r="V136" s="91" t="inlineStr">
        <is>
          <t>Operativo</t>
        </is>
      </c>
      <c r="W136" s="91" t="n"/>
      <c r="X136" s="91" t="n"/>
      <c r="Y136" s="87" t="inlineStr">
        <is>
          <t>Finalizada</t>
        </is>
      </c>
      <c r="Z136" s="87" t="n"/>
      <c r="AA136" s="87" t="inlineStr">
        <is>
          <t>Monitor</t>
        </is>
      </c>
    </row>
    <row r="137" ht="30" customHeight="1" s="157">
      <c r="A137" s="22" t="inlineStr">
        <is>
          <t>S-134</t>
        </is>
      </c>
      <c r="B137" s="83" t="inlineStr">
        <is>
          <t>LAURA MICHELL ZAPATA</t>
        </is>
      </c>
      <c r="C137" s="101" t="n">
        <v>20191007073</v>
      </c>
      <c r="D137" s="83" t="inlineStr">
        <is>
          <t>MIC</t>
        </is>
      </c>
      <c r="E137" s="84" t="n">
        <v>45817</v>
      </c>
      <c r="F137" s="85" t="n">
        <v>0.2791666666666667</v>
      </c>
      <c r="G137" s="93" t="inlineStr">
        <is>
          <t>DECADA CAPACITIVO</t>
        </is>
      </c>
      <c r="H137" s="91" t="n"/>
      <c r="I137" s="98" t="n"/>
      <c r="J137" s="91" t="inlineStr">
        <is>
          <t>3</t>
        </is>
      </c>
      <c r="K137" s="98" t="inlineStr">
        <is>
          <t>ALMACEN</t>
        </is>
      </c>
      <c r="L137" s="91" t="n"/>
      <c r="M137" s="91" t="n"/>
      <c r="N137" s="91" t="inlineStr">
        <is>
          <t>VALOR 500 Nf no funciona bien</t>
        </is>
      </c>
      <c r="O137" s="91" t="n"/>
      <c r="P137" s="87" t="inlineStr">
        <is>
          <t>Nelson G</t>
        </is>
      </c>
      <c r="Q137" s="95" t="n">
        <v>45821</v>
      </c>
      <c r="R137" s="95" t="n"/>
      <c r="S137" s="95" t="n"/>
      <c r="T137" s="30" t="n"/>
      <c r="U137" s="91" t="inlineStr">
        <is>
          <t>SE REALIZA MIC</t>
        </is>
      </c>
      <c r="V137" s="91" t="inlineStr">
        <is>
          <t>Operativo</t>
        </is>
      </c>
      <c r="W137" s="91" t="n"/>
      <c r="X137" s="91" t="n"/>
      <c r="Y137" s="87" t="inlineStr">
        <is>
          <t>Finalizada</t>
        </is>
      </c>
      <c r="Z137" s="87" t="n"/>
      <c r="AA137" s="87" t="inlineStr">
        <is>
          <t>Monitor</t>
        </is>
      </c>
    </row>
    <row r="138" ht="30" customHeight="1" s="157">
      <c r="A138" s="22" t="inlineStr">
        <is>
          <t>S-135</t>
        </is>
      </c>
      <c r="B138" s="83" t="inlineStr">
        <is>
          <t xml:space="preserve">NICOLAS DAVID MOLANO </t>
        </is>
      </c>
      <c r="C138" s="101" t="n">
        <v>20201007052</v>
      </c>
      <c r="D138" s="83" t="inlineStr">
        <is>
          <t>MIC</t>
        </is>
      </c>
      <c r="E138" s="84" t="n">
        <v>45944</v>
      </c>
      <c r="F138" s="85" t="n">
        <v>0.6666666666666666</v>
      </c>
      <c r="G138" s="93" t="inlineStr">
        <is>
          <t>FUENTE DC</t>
        </is>
      </c>
      <c r="H138" s="91" t="inlineStr">
        <is>
          <t>PEAKTECH</t>
        </is>
      </c>
      <c r="I138" s="98" t="n"/>
      <c r="J138" s="91" t="inlineStr">
        <is>
          <t>10</t>
        </is>
      </c>
      <c r="K138" s="98" t="n">
        <v>604</v>
      </c>
      <c r="L138" s="91" t="inlineStr">
        <is>
          <t>ADICIONAL</t>
        </is>
      </c>
      <c r="M138" s="91" t="inlineStr">
        <is>
          <t>4</t>
        </is>
      </c>
      <c r="N138" s="91" t="inlineStr">
        <is>
          <t xml:space="preserve">UNA PERILLA DE TENSIÓN ESTA DAÑADA </t>
        </is>
      </c>
      <c r="O138" s="91" t="n"/>
      <c r="P138" s="87" t="inlineStr">
        <is>
          <t>Nelson G</t>
        </is>
      </c>
      <c r="Q138" s="95" t="n">
        <v>45947</v>
      </c>
      <c r="R138" s="95" t="n"/>
      <c r="S138" s="95" t="n"/>
      <c r="T138" s="91" t="n"/>
      <c r="U138" s="87" t="inlineStr">
        <is>
          <t>SE REALIZA MIC</t>
        </is>
      </c>
      <c r="V138" s="91" t="inlineStr">
        <is>
          <t>Operativo</t>
        </is>
      </c>
      <c r="W138" s="91" t="n"/>
      <c r="X138" s="91" t="n"/>
      <c r="Y138" s="87" t="inlineStr">
        <is>
          <t>Finalizada</t>
        </is>
      </c>
      <c r="Z138" s="87" t="n"/>
      <c r="AA138" s="87" t="inlineStr">
        <is>
          <t>Monitor</t>
        </is>
      </c>
    </row>
    <row r="139" ht="30" customHeight="1" s="157">
      <c r="A139" s="22" t="inlineStr">
        <is>
          <t>S-136</t>
        </is>
      </c>
      <c r="B139" s="83" t="inlineStr">
        <is>
          <t>KEVIN SANTIAGO CHAPARRO</t>
        </is>
      </c>
      <c r="C139" s="101" t="n">
        <v>20192007070</v>
      </c>
      <c r="D139" s="83" t="inlineStr">
        <is>
          <t>MIC</t>
        </is>
      </c>
      <c r="E139" s="84" t="n">
        <v>45779</v>
      </c>
      <c r="F139" s="85" t="n">
        <v>0.7638888888888888</v>
      </c>
      <c r="G139" s="93" t="inlineStr">
        <is>
          <t>OSCILOSCOPIO</t>
        </is>
      </c>
      <c r="H139" s="91" t="inlineStr">
        <is>
          <t>RIGOL</t>
        </is>
      </c>
      <c r="I139" s="98" t="n"/>
      <c r="J139" s="91" t="inlineStr">
        <is>
          <t>9</t>
        </is>
      </c>
      <c r="K139" s="98" t="n">
        <v>602</v>
      </c>
      <c r="L139" s="91" t="inlineStr">
        <is>
          <t>CIRCUITOS II</t>
        </is>
      </c>
      <c r="M139" s="91" t="inlineStr">
        <is>
          <t>9</t>
        </is>
      </c>
      <c r="N139" s="91" t="inlineStr">
        <is>
          <t>EL OSCILOSCOPIO NO PRENDE</t>
        </is>
      </c>
      <c r="O139" s="91" t="n"/>
      <c r="P139" s="87" t="inlineStr">
        <is>
          <t>Nelson G</t>
        </is>
      </c>
      <c r="Q139" s="95" t="n">
        <v>45784</v>
      </c>
      <c r="R139" s="95" t="n"/>
      <c r="S139" s="95" t="n"/>
      <c r="T139" s="91" t="n"/>
      <c r="U139" s="87" t="inlineStr">
        <is>
          <t>SE REALIZA MIC</t>
        </is>
      </c>
      <c r="V139" s="91" t="inlineStr">
        <is>
          <t>Operativo</t>
        </is>
      </c>
      <c r="W139" s="91" t="n"/>
      <c r="X139" s="91" t="n"/>
      <c r="Y139" s="87" t="inlineStr">
        <is>
          <t>Finalizada</t>
        </is>
      </c>
      <c r="Z139" s="87" t="n"/>
      <c r="AA139" s="87" t="inlineStr">
        <is>
          <t>Monitor</t>
        </is>
      </c>
    </row>
    <row r="140" ht="30" customHeight="1" s="157">
      <c r="A140" s="22" t="inlineStr">
        <is>
          <t>S-137</t>
        </is>
      </c>
      <c r="B140" s="83" t="inlineStr">
        <is>
          <t>SHARON CARO FARFAN</t>
        </is>
      </c>
      <c r="C140" s="101" t="n">
        <v>20222005085</v>
      </c>
      <c r="D140" s="83" t="inlineStr">
        <is>
          <t>MIC</t>
        </is>
      </c>
      <c r="E140" s="84" t="n">
        <v>45924</v>
      </c>
      <c r="F140" s="85" t="n">
        <v>0.5972222222222222</v>
      </c>
      <c r="G140" s="93" t="inlineStr">
        <is>
          <t xml:space="preserve">FUENTE </t>
        </is>
      </c>
      <c r="H140" s="91" t="inlineStr">
        <is>
          <t>PEAKTECH</t>
        </is>
      </c>
      <c r="I140" s="98" t="n"/>
      <c r="J140" s="91" t="inlineStr">
        <is>
          <t>27</t>
        </is>
      </c>
      <c r="K140" s="98" t="n">
        <v>604</v>
      </c>
      <c r="L140" s="91" t="inlineStr">
        <is>
          <t>ADICIONAL</t>
        </is>
      </c>
      <c r="M140" s="91" t="inlineStr">
        <is>
          <t>5</t>
        </is>
      </c>
      <c r="N140" s="91" t="inlineStr">
        <is>
          <t>LA FUENTE ARROJA VALORES ERRONEOS</t>
        </is>
      </c>
      <c r="O140" s="91" t="n"/>
      <c r="P140" s="87" t="inlineStr">
        <is>
          <t>Nelson G</t>
        </is>
      </c>
      <c r="Q140" s="95" t="n">
        <v>45929</v>
      </c>
      <c r="R140" s="95" t="n"/>
      <c r="S140" s="95" t="n"/>
      <c r="T140" s="91" t="n"/>
      <c r="U140" s="87" t="inlineStr">
        <is>
          <t>SE REALIZA MIC</t>
        </is>
      </c>
      <c r="V140" s="91" t="inlineStr">
        <is>
          <t>Operativo</t>
        </is>
      </c>
      <c r="W140" s="91" t="n"/>
      <c r="X140" s="91" t="n"/>
      <c r="Y140" s="87" t="inlineStr">
        <is>
          <t>Finalizada</t>
        </is>
      </c>
      <c r="Z140" s="87" t="n"/>
      <c r="AA140" s="87" t="inlineStr">
        <is>
          <t>Monitor</t>
        </is>
      </c>
    </row>
    <row r="141" ht="60" customHeight="1" s="157">
      <c r="A141" s="22" t="inlineStr">
        <is>
          <t>S-138</t>
        </is>
      </c>
      <c r="B141" s="83" t="inlineStr">
        <is>
          <t>CARLOS RODRIGUEZ</t>
        </is>
      </c>
      <c r="C141" s="101" t="n">
        <v>20202005104</v>
      </c>
      <c r="D141" s="83" t="inlineStr">
        <is>
          <t>MIC</t>
        </is>
      </c>
      <c r="E141" s="84" t="n">
        <v>45819</v>
      </c>
      <c r="F141" s="85" t="n">
        <v>0.75</v>
      </c>
      <c r="G141" s="93" t="inlineStr">
        <is>
          <t xml:space="preserve">FUENTE </t>
        </is>
      </c>
      <c r="H141" s="91" t="inlineStr">
        <is>
          <t>PEAKTECH</t>
        </is>
      </c>
      <c r="I141" s="98" t="n"/>
      <c r="J141" s="91" t="inlineStr">
        <is>
          <t>2</t>
        </is>
      </c>
      <c r="K141" s="98" t="n">
        <v>607</v>
      </c>
      <c r="L141" s="91" t="inlineStr">
        <is>
          <t>ADICIONAL</t>
        </is>
      </c>
      <c r="M141" s="91" t="inlineStr">
        <is>
          <t>4</t>
        </is>
      </c>
      <c r="N141" s="91" t="inlineStr">
        <is>
          <t>LA FUENTE NO DA LA TENSIÓN SOLICITADA Y EL VALOR FLUCTUA EN Mv, SE CAMBIA POR NUMERO 28</t>
        </is>
      </c>
      <c r="O141" s="91" t="n"/>
      <c r="P141" s="87" t="inlineStr">
        <is>
          <t>Nelson G</t>
        </is>
      </c>
      <c r="Q141" s="95" t="n">
        <v>45824</v>
      </c>
      <c r="R141" s="95" t="n"/>
      <c r="S141" s="95" t="n"/>
      <c r="T141" s="91" t="n"/>
      <c r="U141" s="87" t="inlineStr">
        <is>
          <t>SE REALIZA MIC</t>
        </is>
      </c>
      <c r="V141" s="91" t="inlineStr">
        <is>
          <t>Operativo</t>
        </is>
      </c>
      <c r="W141" s="91" t="n"/>
      <c r="X141" s="91" t="n"/>
      <c r="Y141" s="87" t="inlineStr">
        <is>
          <t>Finalizada</t>
        </is>
      </c>
      <c r="Z141" s="87" t="n"/>
      <c r="AA141" s="87" t="inlineStr">
        <is>
          <t xml:space="preserve">Tecnico </t>
        </is>
      </c>
    </row>
    <row r="142" ht="45" customHeight="1" s="157">
      <c r="A142" s="22" t="inlineStr">
        <is>
          <t>S-139</t>
        </is>
      </c>
      <c r="B142" s="83" t="inlineStr">
        <is>
          <t xml:space="preserve">JEAN POOL SIERRA </t>
        </is>
      </c>
      <c r="C142" s="101" t="n">
        <v>1000148348</v>
      </c>
      <c r="D142" s="83" t="inlineStr">
        <is>
          <t>MIC</t>
        </is>
      </c>
      <c r="E142" s="84" t="n">
        <v>45748</v>
      </c>
      <c r="F142" s="85" t="n">
        <v>0.4166666666666667</v>
      </c>
      <c r="G142" s="93" t="inlineStr">
        <is>
          <t>PROYECTOR</t>
        </is>
      </c>
      <c r="H142" s="91" t="inlineStr">
        <is>
          <t>EPSON</t>
        </is>
      </c>
      <c r="I142" s="98" t="n"/>
      <c r="J142" s="91" t="inlineStr">
        <is>
          <t>25</t>
        </is>
      </c>
      <c r="K142" s="98" t="n">
        <v>504</v>
      </c>
      <c r="L142" s="91" t="n"/>
      <c r="M142" s="91" t="n"/>
      <c r="N142" s="91" t="inlineStr">
        <is>
          <t>EQUIPO RETIRADO DE LA SALA 507 POR PROBLEMAS DE LEDS SE LIMPIO Y NO PRENDE</t>
        </is>
      </c>
      <c r="O142" s="91" t="n"/>
      <c r="P142" s="87" t="inlineStr">
        <is>
          <t>Nelson G</t>
        </is>
      </c>
      <c r="Q142" s="95" t="n">
        <v>45754</v>
      </c>
      <c r="R142" s="95" t="n"/>
      <c r="S142" s="95" t="n"/>
      <c r="T142" s="91" t="n"/>
      <c r="U142" s="87" t="inlineStr">
        <is>
          <t>SE REALIZA MIC</t>
        </is>
      </c>
      <c r="V142" s="91" t="inlineStr">
        <is>
          <t>Operativo</t>
        </is>
      </c>
      <c r="W142" s="91" t="n"/>
      <c r="X142" s="91" t="n"/>
      <c r="Y142" s="87" t="inlineStr">
        <is>
          <t>Finalizada</t>
        </is>
      </c>
      <c r="Z142" s="87" t="n"/>
      <c r="AA142" s="87" t="inlineStr">
        <is>
          <t>Monitor</t>
        </is>
      </c>
    </row>
    <row r="143" ht="30" customHeight="1" s="157">
      <c r="A143" s="22" t="inlineStr">
        <is>
          <t>S-140</t>
        </is>
      </c>
      <c r="B143" s="83" t="inlineStr">
        <is>
          <t>ANGEL GABRIEL TIQUE</t>
        </is>
      </c>
      <c r="C143" s="101" t="n">
        <v>20182007094</v>
      </c>
      <c r="D143" s="83" t="inlineStr">
        <is>
          <t>MIC</t>
        </is>
      </c>
      <c r="E143" s="84" t="n">
        <v>45803</v>
      </c>
      <c r="F143" s="85" t="n">
        <v>0.3680555555555556</v>
      </c>
      <c r="G143" s="93" t="inlineStr">
        <is>
          <t>FUENTE DC</t>
        </is>
      </c>
      <c r="H143" s="91" t="inlineStr">
        <is>
          <t>PEAKTECH</t>
        </is>
      </c>
      <c r="I143" s="98" t="n"/>
      <c r="J143" s="91" t="inlineStr">
        <is>
          <t>12</t>
        </is>
      </c>
      <c r="K143" s="98" t="n">
        <v>606</v>
      </c>
      <c r="L143" s="91" t="inlineStr">
        <is>
          <t>ELECTRONICA DE POTENCIA</t>
        </is>
      </c>
      <c r="M143" s="91" t="inlineStr">
        <is>
          <t>12</t>
        </is>
      </c>
      <c r="N143" s="91" t="inlineStr">
        <is>
          <t>CANALES DE VOLTAJE NO FUNCIONAN</t>
        </is>
      </c>
      <c r="O143" s="91" t="n"/>
      <c r="P143" s="87" t="inlineStr">
        <is>
          <t>Nelson G</t>
        </is>
      </c>
      <c r="Q143" s="95" t="n">
        <v>45803</v>
      </c>
      <c r="R143" s="95" t="n"/>
      <c r="S143" s="95" t="n"/>
      <c r="T143" s="91" t="n"/>
      <c r="U143" s="91" t="inlineStr">
        <is>
          <t>SE REALIZA MIC</t>
        </is>
      </c>
      <c r="V143" s="91" t="inlineStr">
        <is>
          <t>Operativo</t>
        </is>
      </c>
      <c r="W143" s="91" t="n"/>
      <c r="X143" s="91" t="n"/>
      <c r="Y143" s="87" t="inlineStr">
        <is>
          <t>Finalizada</t>
        </is>
      </c>
      <c r="Z143" s="87" t="n"/>
      <c r="AA143" s="87" t="inlineStr">
        <is>
          <t>Monitor</t>
        </is>
      </c>
    </row>
    <row r="144" ht="30" customHeight="1" s="157">
      <c r="A144" s="22" t="inlineStr">
        <is>
          <t>S-141</t>
        </is>
      </c>
      <c r="B144" s="83" t="inlineStr">
        <is>
          <t>Juan Camilo Cañas Tirado</t>
        </is>
      </c>
      <c r="C144" s="101" t="n">
        <v>1005205581</v>
      </c>
      <c r="D144" s="83" t="inlineStr">
        <is>
          <t>MIC</t>
        </is>
      </c>
      <c r="E144" s="84" t="n">
        <v>46273</v>
      </c>
      <c r="F144" s="85" t="n"/>
      <c r="G144" s="93" t="inlineStr">
        <is>
          <t>MONITOR</t>
        </is>
      </c>
      <c r="H144" s="91" t="inlineStr">
        <is>
          <t>DELL</t>
        </is>
      </c>
      <c r="I144" s="98" t="n"/>
      <c r="J144" s="91" t="inlineStr">
        <is>
          <t>A314</t>
        </is>
      </c>
      <c r="K144" s="98" t="n">
        <v>609</v>
      </c>
      <c r="L144" s="91" t="n"/>
      <c r="M144" s="91" t="n"/>
      <c r="N144" s="91" t="inlineStr">
        <is>
          <t>EL MONITOR NO ENCIENTE</t>
        </is>
      </c>
      <c r="O144" s="91" t="n"/>
      <c r="P144" s="87" t="inlineStr">
        <is>
          <t>Nelson G</t>
        </is>
      </c>
      <c r="Q144" s="95" t="n">
        <v>46280</v>
      </c>
      <c r="R144" s="95" t="n"/>
      <c r="S144" s="95" t="n"/>
      <c r="T144" s="91" t="inlineStr">
        <is>
          <t xml:space="preserve">FALLA EN SELECTOR ON/OFF </t>
        </is>
      </c>
      <c r="U144" s="87" t="inlineStr">
        <is>
          <t>REPARACIÓN DE BOTÓN DE ENCENDIDO POR AVERIA</t>
        </is>
      </c>
      <c r="V144" s="91" t="inlineStr">
        <is>
          <t>Operativo</t>
        </is>
      </c>
      <c r="W144" s="91" t="n"/>
      <c r="X144" s="91" t="n"/>
      <c r="Y144" s="87" t="inlineStr">
        <is>
          <t>Finalizada</t>
        </is>
      </c>
      <c r="Z144" s="87" t="n"/>
      <c r="AA144" s="87" t="inlineStr">
        <is>
          <t xml:space="preserve">Tecnico </t>
        </is>
      </c>
    </row>
    <row r="145" ht="75" customHeight="1" s="157">
      <c r="A145" s="22" t="inlineStr">
        <is>
          <t>S-142</t>
        </is>
      </c>
      <c r="B145" s="83" t="inlineStr">
        <is>
          <t>CARLOS RODRIGUEZ</t>
        </is>
      </c>
      <c r="C145" s="101" t="n">
        <v>20202007010</v>
      </c>
      <c r="D145" s="83" t="inlineStr">
        <is>
          <t>MIC</t>
        </is>
      </c>
      <c r="E145" s="84" t="n">
        <v>46259</v>
      </c>
      <c r="F145" s="85" t="n">
        <v>0.25</v>
      </c>
      <c r="G145" s="93" t="inlineStr">
        <is>
          <t>FUENTE</t>
        </is>
      </c>
      <c r="H145" s="91" t="inlineStr">
        <is>
          <t>PEAKTECH</t>
        </is>
      </c>
      <c r="I145" s="98" t="n"/>
      <c r="J145" s="91" t="inlineStr">
        <is>
          <t>07-A315</t>
        </is>
      </c>
      <c r="K145" s="98" t="n">
        <v>604</v>
      </c>
      <c r="L145" s="91" t="inlineStr">
        <is>
          <t>ADICIONAL</t>
        </is>
      </c>
      <c r="M145" s="91" t="inlineStr">
        <is>
          <t>2</t>
        </is>
      </c>
      <c r="N145" s="91" t="inlineStr">
        <is>
          <t>LA FUENTE ESTA DESCALIBRADA EN LA SALIDA IZQUIERDA, PRESENTA VARIABLES Y NO LLEGA A CERO MIENTRAS QUE SI SOBREPASA LOS 30 V</t>
        </is>
      </c>
      <c r="O145" s="91" t="n"/>
      <c r="P145" s="87" t="inlineStr">
        <is>
          <t>Nelson G</t>
        </is>
      </c>
      <c r="Q145" s="95" t="n">
        <v>46281</v>
      </c>
      <c r="R145" s="95" t="n"/>
      <c r="S145" s="95" t="n"/>
      <c r="T145" s="91" t="inlineStr">
        <is>
          <t>MIP</t>
        </is>
      </c>
      <c r="U145" s="87" t="inlineStr">
        <is>
          <t>MIP AJUSTE POTENCIOMETROS DE 7 K</t>
        </is>
      </c>
      <c r="V145" s="91" t="inlineStr">
        <is>
          <t>Operativo</t>
        </is>
      </c>
      <c r="W145" s="91" t="n"/>
      <c r="X145" s="91" t="n"/>
      <c r="Y145" s="87" t="inlineStr">
        <is>
          <t>Finalizada</t>
        </is>
      </c>
      <c r="Z145" s="87" t="n"/>
      <c r="AA145" s="87" t="inlineStr">
        <is>
          <t>Monitor</t>
        </is>
      </c>
    </row>
    <row r="146" ht="45" customHeight="1" s="157">
      <c r="A146" s="22" t="inlineStr">
        <is>
          <t>S-143</t>
        </is>
      </c>
      <c r="B146" s="83" t="inlineStr">
        <is>
          <t>ANDRES FELIPE SANDOVAL</t>
        </is>
      </c>
      <c r="C146" s="101" t="n">
        <v>20221007043</v>
      </c>
      <c r="D146" s="83" t="inlineStr">
        <is>
          <t>MIC</t>
        </is>
      </c>
      <c r="E146" s="84" t="n">
        <v>46275</v>
      </c>
      <c r="F146" s="85" t="n">
        <v>0.3333333333333333</v>
      </c>
      <c r="G146" s="93" t="inlineStr">
        <is>
          <t>FUENTE</t>
        </is>
      </c>
      <c r="H146" s="91" t="inlineStr">
        <is>
          <t>PEAKTECH</t>
        </is>
      </c>
      <c r="I146" s="98" t="n"/>
      <c r="J146" s="91" t="inlineStr">
        <is>
          <t>A343</t>
        </is>
      </c>
      <c r="K146" s="98" t="inlineStr">
        <is>
          <t>ALMACEN</t>
        </is>
      </c>
      <c r="L146" s="91" t="n"/>
      <c r="M146" s="91" t="inlineStr">
        <is>
          <t>3</t>
        </is>
      </c>
      <c r="N146" s="91" t="inlineStr">
        <is>
          <t>FUENTE EN CORTO, PRESENTA 50 V A LA SALIDA DE MASTER Y SLAVE</t>
        </is>
      </c>
      <c r="O146" s="91" t="n"/>
      <c r="P146" s="87" t="inlineStr">
        <is>
          <t>Nelson G</t>
        </is>
      </c>
      <c r="Q146" s="95" t="n">
        <v>46281</v>
      </c>
      <c r="R146" s="95" t="n"/>
      <c r="S146" s="95" t="n"/>
      <c r="T146" s="91" t="inlineStr">
        <is>
          <t>Corto circuito.</t>
        </is>
      </c>
      <c r="U146" s="87" t="inlineStr">
        <is>
          <t>REEMPLAZO TRANSISTOR QUEMADO 2N3055 Y UN ELEMENTO RESISTIVO 470 V</t>
        </is>
      </c>
      <c r="V146" s="91" t="inlineStr">
        <is>
          <t>Operativo</t>
        </is>
      </c>
      <c r="W146" s="91" t="n"/>
      <c r="X146" s="91" t="n"/>
      <c r="Y146" s="87" t="inlineStr">
        <is>
          <t>Finalizada</t>
        </is>
      </c>
      <c r="Z146" s="87" t="n"/>
      <c r="AA146" s="87" t="inlineStr">
        <is>
          <t>Monitor</t>
        </is>
      </c>
    </row>
    <row r="147" ht="45" customHeight="1" s="157">
      <c r="A147" s="22" t="inlineStr">
        <is>
          <t>S-144</t>
        </is>
      </c>
      <c r="B147" s="83" t="inlineStr">
        <is>
          <t>JOHAN AVILA</t>
        </is>
      </c>
      <c r="C147" s="101" t="n">
        <v>20192007098</v>
      </c>
      <c r="D147" s="83" t="inlineStr">
        <is>
          <t>MIC</t>
        </is>
      </c>
      <c r="E147" s="84" t="n">
        <v>46149</v>
      </c>
      <c r="F147" s="85" t="n">
        <v>0.3333333333333333</v>
      </c>
      <c r="G147" s="93" t="inlineStr">
        <is>
          <t>MULTIMETRO</t>
        </is>
      </c>
      <c r="H147" s="91" t="inlineStr">
        <is>
          <t>ERASMUS</t>
        </is>
      </c>
      <c r="I147" s="98" t="n"/>
      <c r="J147" s="91" t="inlineStr">
        <is>
          <t>6</t>
        </is>
      </c>
      <c r="K147" s="98" t="n">
        <v>605</v>
      </c>
      <c r="L147" s="91" t="inlineStr">
        <is>
          <t>ELECTRONICA DE POTENCIA</t>
        </is>
      </c>
      <c r="M147" s="91" t="inlineStr">
        <is>
          <t>5</t>
        </is>
      </c>
      <c r="N147" s="91" t="inlineStr">
        <is>
          <t>FUSIBLE MA Y 10A DAÑADOS Y NO MUESTRA CONTINUIDAD, SE REEMPLAZA CON MULTIMETRO 19</t>
        </is>
      </c>
      <c r="O147" s="91" t="n"/>
      <c r="P147" s="87" t="n"/>
      <c r="Q147" s="95" t="n"/>
      <c r="R147" s="95" t="n"/>
      <c r="S147" s="95" t="n"/>
      <c r="T147" s="91" t="n"/>
      <c r="U147" s="87" t="n"/>
      <c r="V147" s="91" t="inlineStr">
        <is>
          <t>Operativo</t>
        </is>
      </c>
      <c r="W147" s="91" t="n"/>
      <c r="X147" s="91" t="n"/>
      <c r="Y147" s="87" t="inlineStr">
        <is>
          <t>Finalizada</t>
        </is>
      </c>
      <c r="Z147" s="87" t="n"/>
      <c r="AA147" s="87" t="inlineStr">
        <is>
          <t>Monitor</t>
        </is>
      </c>
    </row>
    <row r="148" ht="45" customHeight="1" s="157">
      <c r="A148" s="22" t="inlineStr">
        <is>
          <t>S-145</t>
        </is>
      </c>
      <c r="B148" s="83" t="inlineStr">
        <is>
          <t>MICHAEL STEVEN MORA</t>
        </is>
      </c>
      <c r="C148" s="101" t="n">
        <v>1010226994</v>
      </c>
      <c r="D148" s="83" t="inlineStr">
        <is>
          <t>MIC</t>
        </is>
      </c>
      <c r="E148" s="84" t="n">
        <v>45530</v>
      </c>
      <c r="F148" s="85" t="n"/>
      <c r="G148" s="93" t="inlineStr">
        <is>
          <t>MULTIMETRO</t>
        </is>
      </c>
      <c r="H148" s="91" t="inlineStr">
        <is>
          <t>ERASMUS</t>
        </is>
      </c>
      <c r="I148" s="98" t="n"/>
      <c r="J148" s="91" t="inlineStr">
        <is>
          <t>18</t>
        </is>
      </c>
      <c r="K148" s="98" t="inlineStr">
        <is>
          <t>ALMACEN</t>
        </is>
      </c>
      <c r="L148" s="91" t="n"/>
      <c r="M148" s="91" t="n"/>
      <c r="N148" s="91" t="inlineStr">
        <is>
          <t>No enciende</t>
        </is>
      </c>
      <c r="O148" s="91" t="n"/>
      <c r="P148" s="87" t="inlineStr">
        <is>
          <t>MICHAEL MORA</t>
        </is>
      </c>
      <c r="Q148" s="95" t="n">
        <v>45530</v>
      </c>
      <c r="R148" s="95" t="n"/>
      <c r="S148" s="95" t="n"/>
      <c r="T148" s="91" t="inlineStr">
        <is>
          <t xml:space="preserve">MAL CONTACTO DE LA BATERÍA </t>
        </is>
      </c>
      <c r="U148" s="87" t="inlineStr">
        <is>
          <t>SE AJUSTAN LAS LAMINAS DE CONTACTO ENTRE LA BATERÍA Y LA PLACA</t>
        </is>
      </c>
      <c r="V148" s="91" t="inlineStr">
        <is>
          <t>Operativo</t>
        </is>
      </c>
      <c r="W148" s="91" t="n"/>
      <c r="X148" s="91" t="n"/>
      <c r="Y148" s="87" t="inlineStr">
        <is>
          <t>Finalizada</t>
        </is>
      </c>
      <c r="Z148" s="87" t="n"/>
      <c r="AA148" s="87" t="inlineStr">
        <is>
          <t xml:space="preserve">Tecnico </t>
        </is>
      </c>
    </row>
    <row r="149" ht="30" customHeight="1" s="157">
      <c r="A149" s="22" t="inlineStr">
        <is>
          <t>S-146</t>
        </is>
      </c>
      <c r="B149" s="83" t="inlineStr">
        <is>
          <t>MICHAEL STEVEN MORA</t>
        </is>
      </c>
      <c r="C149" s="101" t="n">
        <v>1010226994</v>
      </c>
      <c r="D149" s="83" t="inlineStr">
        <is>
          <t>MIC</t>
        </is>
      </c>
      <c r="E149" s="84" t="n">
        <v>45530</v>
      </c>
      <c r="F149" s="85" t="n"/>
      <c r="G149" s="93" t="inlineStr">
        <is>
          <t>MULTIMETRO</t>
        </is>
      </c>
      <c r="H149" s="91" t="inlineStr">
        <is>
          <t>ERASMUS</t>
        </is>
      </c>
      <c r="I149" s="98" t="n"/>
      <c r="J149" s="91" t="n"/>
      <c r="K149" s="98" t="inlineStr">
        <is>
          <t>ALMACEN</t>
        </is>
      </c>
      <c r="L149" s="91" t="n"/>
      <c r="M149" s="91" t="n"/>
      <c r="N149" s="91" t="inlineStr">
        <is>
          <t>NO MIDE EN ESCALA DE MA</t>
        </is>
      </c>
      <c r="O149" s="91" t="n"/>
      <c r="P149" s="87" t="inlineStr">
        <is>
          <t>MICHAEL MORA</t>
        </is>
      </c>
      <c r="Q149" s="95" t="n">
        <v>45530</v>
      </c>
      <c r="R149" s="95" t="n"/>
      <c r="S149" s="95" t="n"/>
      <c r="T149" s="91" t="inlineStr">
        <is>
          <t>Fusible de 500 mA averiado</t>
        </is>
      </c>
      <c r="U149" s="87" t="inlineStr">
        <is>
          <t>CAMBIO DE FUSIBLE DE MA</t>
        </is>
      </c>
      <c r="V149" s="91" t="inlineStr">
        <is>
          <t>Operativo</t>
        </is>
      </c>
      <c r="W149" s="91" t="n"/>
      <c r="X149" s="91" t="n"/>
      <c r="Y149" s="87" t="inlineStr">
        <is>
          <t>Finalizada</t>
        </is>
      </c>
      <c r="Z149" s="87" t="n"/>
      <c r="AA149" s="87" t="inlineStr">
        <is>
          <t xml:space="preserve">Tecnico </t>
        </is>
      </c>
    </row>
    <row r="150" ht="75" customHeight="1" s="157">
      <c r="A150" s="22" t="inlineStr">
        <is>
          <t>S-147</t>
        </is>
      </c>
      <c r="B150" s="83" t="inlineStr">
        <is>
          <t>SAMUEL DAVID MOSQUERA</t>
        </is>
      </c>
      <c r="C150" s="101" t="n">
        <v>20192005016</v>
      </c>
      <c r="D150" s="83" t="inlineStr">
        <is>
          <t>MIC</t>
        </is>
      </c>
      <c r="E150" s="84" t="n">
        <v>45435</v>
      </c>
      <c r="F150" s="85" t="n">
        <v>0.3888888888888889</v>
      </c>
      <c r="G150" s="93" t="inlineStr">
        <is>
          <t>MULTIMETRO</t>
        </is>
      </c>
      <c r="H150" s="91" t="inlineStr">
        <is>
          <t>ERASMUS</t>
        </is>
      </c>
      <c r="I150" s="98" t="n"/>
      <c r="J150" s="91" t="inlineStr">
        <is>
          <t>51</t>
        </is>
      </c>
      <c r="K150" s="98" t="n">
        <v>607</v>
      </c>
      <c r="L150" s="91" t="inlineStr">
        <is>
          <t>ELECTRONICA I</t>
        </is>
      </c>
      <c r="M150" s="91" t="inlineStr">
        <is>
          <t>1</t>
        </is>
      </c>
      <c r="N150" s="91" t="inlineStr">
        <is>
          <t>PARECIERA QUE ALGO NO ESTA HACIENDO BUEN CONTACTO PORQUE LA PANTALLA MUESTRA MUY TENUE LOS VALORES, SI SE MUEVE FUNCIONA BIEN O NO</t>
        </is>
      </c>
      <c r="O150" s="91" t="n"/>
      <c r="P150" s="87" t="inlineStr">
        <is>
          <t>MICHAEL MORA</t>
        </is>
      </c>
      <c r="Q150" s="95" t="n">
        <v>45509</v>
      </c>
      <c r="R150" s="95" t="n"/>
      <c r="S150" s="95" t="n"/>
      <c r="T150" s="91" t="inlineStr">
        <is>
          <t>BATERÍA DESCARGADA</t>
        </is>
      </c>
      <c r="U150" s="87" t="inlineStr">
        <is>
          <t>CAMBIO DE BATERIA</t>
        </is>
      </c>
      <c r="V150" s="91" t="inlineStr">
        <is>
          <t>Operativo</t>
        </is>
      </c>
      <c r="W150" s="91" t="n"/>
      <c r="X150" s="91" t="n"/>
      <c r="Y150" s="87" t="inlineStr">
        <is>
          <t>Finalizada</t>
        </is>
      </c>
      <c r="Z150" s="87" t="n"/>
      <c r="AA150" s="87" t="inlineStr">
        <is>
          <t>Monitor</t>
        </is>
      </c>
    </row>
    <row r="151" ht="30" customHeight="1" s="157">
      <c r="A151" s="22" t="inlineStr">
        <is>
          <t>S-148</t>
        </is>
      </c>
      <c r="B151" s="83" t="inlineStr">
        <is>
          <t>GABRIEL HERNAN LATORRE</t>
        </is>
      </c>
      <c r="C151" s="101" t="n">
        <v>20201005160</v>
      </c>
      <c r="D151" s="83" t="inlineStr">
        <is>
          <t>MIC</t>
        </is>
      </c>
      <c r="E151" s="84" t="n">
        <v>45526</v>
      </c>
      <c r="F151" s="85" t="n">
        <v>0.5833333333333334</v>
      </c>
      <c r="G151" s="93" t="inlineStr">
        <is>
          <t>MULTIMETRO</t>
        </is>
      </c>
      <c r="H151" s="91" t="inlineStr">
        <is>
          <t>ERASMUS</t>
        </is>
      </c>
      <c r="I151" s="98" t="n"/>
      <c r="J151" s="91" t="inlineStr">
        <is>
          <t>26</t>
        </is>
      </c>
      <c r="K151" s="98" t="n">
        <v>603</v>
      </c>
      <c r="L151" s="91" t="inlineStr">
        <is>
          <t>ELECTRONICA I</t>
        </is>
      </c>
      <c r="M151" s="91" t="inlineStr">
        <is>
          <t>3</t>
        </is>
      </c>
      <c r="N151" s="91" t="inlineStr">
        <is>
          <t>Bateria descargada</t>
        </is>
      </c>
      <c r="O151" s="91" t="n"/>
      <c r="P151" s="87" t="inlineStr">
        <is>
          <t>MICHAEL MORA</t>
        </is>
      </c>
      <c r="Q151" s="95" t="n">
        <v>45526</v>
      </c>
      <c r="R151" s="95" t="n"/>
      <c r="S151" s="95" t="n"/>
      <c r="T151" s="91" t="inlineStr">
        <is>
          <t>BATERÍA DESCARGADA</t>
        </is>
      </c>
      <c r="U151" s="87" t="inlineStr">
        <is>
          <t>CAMBIO DE BATERIA</t>
        </is>
      </c>
      <c r="V151" s="91" t="inlineStr">
        <is>
          <t>Operativo</t>
        </is>
      </c>
      <c r="W151" s="91" t="n"/>
      <c r="X151" s="91" t="n"/>
      <c r="Y151" s="87" t="inlineStr">
        <is>
          <t>Finalizada</t>
        </is>
      </c>
      <c r="Z151" s="87" t="n"/>
      <c r="AA151" s="87" t="inlineStr">
        <is>
          <t>Monitor</t>
        </is>
      </c>
    </row>
    <row r="152">
      <c r="A152" s="22" t="inlineStr">
        <is>
          <t>S-149</t>
        </is>
      </c>
      <c r="B152" s="83" t="inlineStr">
        <is>
          <t>JAIDER RODRIGUEZ</t>
        </is>
      </c>
      <c r="C152" s="101" t="n">
        <v>1192723780</v>
      </c>
      <c r="D152" s="83" t="inlineStr">
        <is>
          <t>MIC</t>
        </is>
      </c>
      <c r="E152" s="84" t="n">
        <v>45421</v>
      </c>
      <c r="F152" s="85" t="n">
        <v>0.5833333333333334</v>
      </c>
      <c r="G152" s="93" t="inlineStr">
        <is>
          <t>MULTIMETRO</t>
        </is>
      </c>
      <c r="H152" s="91" t="inlineStr">
        <is>
          <t>ERASMUS</t>
        </is>
      </c>
      <c r="I152" s="98" t="n"/>
      <c r="J152" s="91" t="inlineStr">
        <is>
          <t>3</t>
        </is>
      </c>
      <c r="K152" s="98" t="n"/>
      <c r="L152" s="91" t="inlineStr">
        <is>
          <t>CIRCUITOS I</t>
        </is>
      </c>
      <c r="M152" s="91" t="n"/>
      <c r="N152" s="91" t="inlineStr">
        <is>
          <t>FUSIBLE MA</t>
        </is>
      </c>
      <c r="O152" s="91" t="n"/>
      <c r="P152" s="87" t="inlineStr">
        <is>
          <t>MICHAEL MORA</t>
        </is>
      </c>
      <c r="Q152" s="95" t="n">
        <v>45421</v>
      </c>
      <c r="R152" s="95" t="n"/>
      <c r="S152" s="95" t="n"/>
      <c r="T152" s="91" t="inlineStr">
        <is>
          <t>FUSIBLE DE 500 MA DAÑADO</t>
        </is>
      </c>
      <c r="U152" s="87" t="inlineStr">
        <is>
          <t>CAMBIO DE FUSIBLE DE 500 MA</t>
        </is>
      </c>
      <c r="V152" s="91" t="inlineStr">
        <is>
          <t>Operativo</t>
        </is>
      </c>
      <c r="W152" s="91" t="n"/>
      <c r="X152" s="91" t="n"/>
      <c r="Y152" s="87" t="inlineStr">
        <is>
          <t>Finalizada</t>
        </is>
      </c>
      <c r="Z152" s="87" t="n"/>
      <c r="AA152" s="87" t="inlineStr">
        <is>
          <t>Monitor</t>
        </is>
      </c>
    </row>
    <row r="153" ht="30" customHeight="1" s="157">
      <c r="A153" s="22" t="inlineStr">
        <is>
          <t>S-150</t>
        </is>
      </c>
      <c r="B153" s="83" t="inlineStr">
        <is>
          <t>ANDRES ANDRADE SANDOVAL</t>
        </is>
      </c>
      <c r="C153" s="101" t="n">
        <v>20202005059</v>
      </c>
      <c r="D153" s="83" t="inlineStr">
        <is>
          <t>MIC</t>
        </is>
      </c>
      <c r="E153" s="84" t="n">
        <v>45530</v>
      </c>
      <c r="F153" s="85" t="n">
        <v>0.6666666666666666</v>
      </c>
      <c r="G153" s="93" t="inlineStr">
        <is>
          <t>MULTIMETRO</t>
        </is>
      </c>
      <c r="H153" s="91" t="inlineStr">
        <is>
          <t>ERASMUS</t>
        </is>
      </c>
      <c r="I153" s="98" t="n"/>
      <c r="J153" s="91" t="inlineStr">
        <is>
          <t>1</t>
        </is>
      </c>
      <c r="K153" s="98" t="n">
        <v>607</v>
      </c>
      <c r="L153" s="91" t="inlineStr">
        <is>
          <t>ELECTRONICA II</t>
        </is>
      </c>
      <c r="M153" s="91" t="inlineStr">
        <is>
          <t>4</t>
        </is>
      </c>
      <c r="N153" s="91" t="inlineStr">
        <is>
          <t>FUSIBLE MA DAÑADO</t>
        </is>
      </c>
      <c r="O153" s="91" t="n"/>
      <c r="P153" s="87" t="inlineStr">
        <is>
          <t>MICHAEL MORA</t>
        </is>
      </c>
      <c r="Q153" s="95" t="n">
        <v>45530</v>
      </c>
      <c r="R153" s="95" t="n"/>
      <c r="S153" s="95" t="n"/>
      <c r="T153" s="91" t="inlineStr">
        <is>
          <t>FUSIBLE DE 500 MA DAÑADO</t>
        </is>
      </c>
      <c r="U153" s="87" t="inlineStr">
        <is>
          <t>CAMBIO DE FUSIBLE DE 500 MA</t>
        </is>
      </c>
      <c r="V153" s="91" t="inlineStr">
        <is>
          <t>Operativo</t>
        </is>
      </c>
      <c r="W153" s="91" t="n"/>
      <c r="X153" s="91" t="n"/>
      <c r="Y153" s="87" t="inlineStr">
        <is>
          <t>Finalizada</t>
        </is>
      </c>
      <c r="Z153" s="87" t="n"/>
      <c r="AA153" s="87" t="inlineStr">
        <is>
          <t>Monitor</t>
        </is>
      </c>
    </row>
    <row r="154" ht="30" customHeight="1" s="157">
      <c r="A154" s="22" t="inlineStr">
        <is>
          <t>S-151</t>
        </is>
      </c>
      <c r="B154" s="83" t="inlineStr">
        <is>
          <t>ANDRES ANDRADE SANDOVAL</t>
        </is>
      </c>
      <c r="C154" s="101" t="n">
        <v>20202005059</v>
      </c>
      <c r="D154" s="83" t="inlineStr">
        <is>
          <t>MIC</t>
        </is>
      </c>
      <c r="E154" s="84" t="n">
        <v>45530</v>
      </c>
      <c r="F154" s="85" t="n">
        <v>0.6666666666666666</v>
      </c>
      <c r="G154" s="93" t="inlineStr">
        <is>
          <t>MULTIMETRO</t>
        </is>
      </c>
      <c r="H154" s="91" t="inlineStr">
        <is>
          <t>ERASMUS</t>
        </is>
      </c>
      <c r="I154" s="98" t="n"/>
      <c r="J154" s="91" t="inlineStr">
        <is>
          <t>1</t>
        </is>
      </c>
      <c r="K154" s="98" t="n">
        <v>607</v>
      </c>
      <c r="L154" s="91" t="inlineStr">
        <is>
          <t>ELECTRONICA II</t>
        </is>
      </c>
      <c r="M154" s="91" t="inlineStr">
        <is>
          <t>3</t>
        </is>
      </c>
      <c r="N154" s="91" t="inlineStr">
        <is>
          <t>FUSIBLE MA DAÑADO</t>
        </is>
      </c>
      <c r="O154" s="91" t="n"/>
      <c r="P154" s="87" t="inlineStr">
        <is>
          <t>MICHAEL MORA</t>
        </is>
      </c>
      <c r="Q154" s="95" t="n">
        <v>45530</v>
      </c>
      <c r="R154" s="95" t="n"/>
      <c r="S154" s="95" t="n"/>
      <c r="T154" s="91" t="inlineStr">
        <is>
          <t>FUSIBLE DE 500 MA DAÑADO</t>
        </is>
      </c>
      <c r="U154" s="87" t="inlineStr">
        <is>
          <t>CAMBIO DE FUSIBLE DE 500 MA</t>
        </is>
      </c>
      <c r="V154" s="91" t="inlineStr">
        <is>
          <t>Operativo</t>
        </is>
      </c>
      <c r="W154" s="91" t="n"/>
      <c r="X154" s="91" t="n"/>
      <c r="Y154" s="87" t="inlineStr">
        <is>
          <t>Finalizada</t>
        </is>
      </c>
      <c r="Z154" s="87" t="n"/>
      <c r="AA154" s="87" t="inlineStr">
        <is>
          <t>Monitor</t>
        </is>
      </c>
    </row>
    <row r="155" ht="45" customHeight="1" s="157">
      <c r="A155" s="22" t="inlineStr">
        <is>
          <t>S-152</t>
        </is>
      </c>
      <c r="B155" s="83" t="inlineStr">
        <is>
          <t>NANCY DELGADO</t>
        </is>
      </c>
      <c r="C155" s="101" t="n">
        <v>63324060</v>
      </c>
      <c r="D155" s="83" t="inlineStr">
        <is>
          <t>MIC</t>
        </is>
      </c>
      <c r="E155" s="84" t="n">
        <v>45467</v>
      </c>
      <c r="F155" s="85" t="n"/>
      <c r="G155" s="93" t="inlineStr">
        <is>
          <t>MULTIMETRO</t>
        </is>
      </c>
      <c r="H155" s="91" t="inlineStr">
        <is>
          <t>ERASMUS</t>
        </is>
      </c>
      <c r="I155" s="98" t="n"/>
      <c r="J155" s="91" t="n"/>
      <c r="K155" s="98" t="inlineStr">
        <is>
          <t>ALMACEN</t>
        </is>
      </c>
      <c r="L155" s="91" t="n"/>
      <c r="M155" s="91" t="n"/>
      <c r="N155" s="91" t="inlineStr">
        <is>
          <t>NO PRENDE, SE CAMBI LA BATERIA PERO SIGUE LO MISMO, SIN PRENDER</t>
        </is>
      </c>
      <c r="O155" s="91" t="n"/>
      <c r="P155" s="87" t="inlineStr">
        <is>
          <t>MICHAEL MORA</t>
        </is>
      </c>
      <c r="Q155" s="95" t="n">
        <v>45481</v>
      </c>
      <c r="R155" s="95" t="n"/>
      <c r="S155" s="95" t="n"/>
      <c r="T155" s="91" t="inlineStr">
        <is>
          <t>FALLA DE CONECIÓN ENTRE LA BATERPIA Y LOS CONECTORES</t>
        </is>
      </c>
      <c r="U155" s="87" t="inlineStr">
        <is>
          <t>AJUSTE EN LOS CONECTORES (LÁMINAS METÁLICAS) DE LA BATERÍA</t>
        </is>
      </c>
      <c r="V155" s="91" t="inlineStr">
        <is>
          <t>Operativo</t>
        </is>
      </c>
      <c r="W155" s="91" t="n"/>
      <c r="X155" s="91" t="n"/>
      <c r="Y155" s="87" t="inlineStr">
        <is>
          <t>Finalizada</t>
        </is>
      </c>
      <c r="Z155" s="87" t="n"/>
      <c r="AA155" s="87" t="inlineStr">
        <is>
          <t xml:space="preserve">Tecnico </t>
        </is>
      </c>
    </row>
    <row r="156" ht="60" customHeight="1" s="157">
      <c r="A156" s="22" t="inlineStr">
        <is>
          <t>S-153</t>
        </is>
      </c>
      <c r="B156" s="83" t="inlineStr">
        <is>
          <t>NANCY DELGADO</t>
        </is>
      </c>
      <c r="C156" s="101" t="n">
        <v>63324060</v>
      </c>
      <c r="D156" s="83" t="inlineStr">
        <is>
          <t>MIC</t>
        </is>
      </c>
      <c r="E156" s="84" t="n">
        <v>45470</v>
      </c>
      <c r="F156" s="85" t="n"/>
      <c r="G156" s="93" t="inlineStr">
        <is>
          <t>MULTIMETRO</t>
        </is>
      </c>
      <c r="H156" s="91" t="inlineStr">
        <is>
          <t>ERASMUS</t>
        </is>
      </c>
      <c r="I156" s="98" t="n"/>
      <c r="J156" s="91" t="inlineStr">
        <is>
          <t>5</t>
        </is>
      </c>
      <c r="K156" s="98" t="n">
        <v>606</v>
      </c>
      <c r="L156" s="91" t="inlineStr">
        <is>
          <t>CIRCUITOS II</t>
        </is>
      </c>
      <c r="M156" s="91" t="n"/>
      <c r="N156" s="91" t="inlineStr">
        <is>
          <t>BATERÍA DAÑADA Y PARA CAMBIO</t>
        </is>
      </c>
      <c r="O156" s="91" t="n"/>
      <c r="P156" s="87" t="inlineStr">
        <is>
          <t>MICHAEL MORA</t>
        </is>
      </c>
      <c r="Q156" s="95" t="n">
        <v>45481</v>
      </c>
      <c r="R156" s="95" t="n"/>
      <c r="S156" s="95" t="n"/>
      <c r="T156" s="91" t="inlineStr">
        <is>
          <t>BATERÍA DESCARGADA, LA BORNERA HACE BUEN CONTACTOR CON EL CONTACTOR</t>
        </is>
      </c>
      <c r="U156" s="87" t="inlineStr">
        <is>
          <t>CAMBIO DE BATERÍA</t>
        </is>
      </c>
      <c r="V156" s="91" t="inlineStr">
        <is>
          <t>Operativo</t>
        </is>
      </c>
      <c r="W156" s="91" t="n"/>
      <c r="X156" s="91" t="n"/>
      <c r="Y156" s="87" t="inlineStr">
        <is>
          <t>Finalizada</t>
        </is>
      </c>
      <c r="Z156" s="87" t="n"/>
      <c r="AA156" s="87" t="inlineStr">
        <is>
          <t xml:space="preserve">Tecnico </t>
        </is>
      </c>
    </row>
    <row r="157" ht="60" customHeight="1" s="157">
      <c r="A157" s="22" t="inlineStr">
        <is>
          <t>S-154</t>
        </is>
      </c>
      <c r="B157" s="83" t="inlineStr">
        <is>
          <t>MARIA FERNANDA LAVERDE</t>
        </is>
      </c>
      <c r="C157" s="101" t="n">
        <v>20212007030</v>
      </c>
      <c r="D157" s="83" t="inlineStr">
        <is>
          <t>MIC</t>
        </is>
      </c>
      <c r="E157" s="84" t="n">
        <v>45420</v>
      </c>
      <c r="F157" s="85" t="n"/>
      <c r="G157" s="93" t="inlineStr">
        <is>
          <t>MULTIMETRO</t>
        </is>
      </c>
      <c r="H157" s="91" t="n"/>
      <c r="I157" s="98" t="n"/>
      <c r="J157" s="91" t="n"/>
      <c r="K157" s="98" t="n"/>
      <c r="L157" s="91" t="n"/>
      <c r="M157" s="91" t="n"/>
      <c r="N157" s="91" t="inlineStr">
        <is>
          <t>BATERIA SI ENCIENDE PERO NO DEJA HACER NINGUNA FUNCIÓN</t>
        </is>
      </c>
      <c r="O157" s="91" t="n"/>
      <c r="P157" s="87" t="inlineStr">
        <is>
          <t>MICHAEL MORA</t>
        </is>
      </c>
      <c r="Q157" s="95" t="n">
        <v>45503</v>
      </c>
      <c r="R157" s="95" t="n"/>
      <c r="S157" s="95" t="n"/>
      <c r="T157" s="91" t="inlineStr">
        <is>
          <t>BATERÍA DESCARGADA, RQUIERE MÁS DE 9V PARA FUNCIONAR CORRECTANMENTE</t>
        </is>
      </c>
      <c r="U157" s="87" t="inlineStr">
        <is>
          <t>CAMBIO DE BATERÍA</t>
        </is>
      </c>
      <c r="V157" s="91" t="inlineStr">
        <is>
          <t>Operativo</t>
        </is>
      </c>
      <c r="W157" s="91" t="n"/>
      <c r="X157" s="91" t="n"/>
      <c r="Y157" s="87" t="inlineStr">
        <is>
          <t>Finalizada</t>
        </is>
      </c>
      <c r="Z157" s="87" t="n"/>
      <c r="AA157" s="87" t="inlineStr">
        <is>
          <t>Monitor</t>
        </is>
      </c>
    </row>
    <row r="158" ht="60" customHeight="1" s="157">
      <c r="A158" s="22" t="inlineStr">
        <is>
          <t>S-155</t>
        </is>
      </c>
      <c r="B158" s="83" t="inlineStr">
        <is>
          <t>MARIA FERNANDA LAVERDE</t>
        </is>
      </c>
      <c r="C158" s="101" t="n">
        <v>20212007030</v>
      </c>
      <c r="D158" s="83" t="inlineStr">
        <is>
          <t>MIC</t>
        </is>
      </c>
      <c r="E158" s="84" t="n">
        <v>45420</v>
      </c>
      <c r="F158" s="85" t="n"/>
      <c r="G158" s="93" t="inlineStr">
        <is>
          <t>MULTIMETRO</t>
        </is>
      </c>
      <c r="H158" s="91" t="n"/>
      <c r="I158" s="98" t="n"/>
      <c r="J158" s="91" t="n"/>
      <c r="K158" s="98" t="n"/>
      <c r="L158" s="91" t="n"/>
      <c r="M158" s="91" t="n"/>
      <c r="N158" s="91" t="inlineStr">
        <is>
          <t>LA PANTALLA SE QUEDA INMOVIL, NO DEJA HACER NADA</t>
        </is>
      </c>
      <c r="O158" s="91" t="n"/>
      <c r="P158" s="87" t="inlineStr">
        <is>
          <t>MICHAEL MORA</t>
        </is>
      </c>
      <c r="Q158" s="95" t="n">
        <v>45503</v>
      </c>
      <c r="R158" s="95" t="n"/>
      <c r="S158" s="95" t="n"/>
      <c r="T158" s="91" t="inlineStr">
        <is>
          <t>BATERÍA DESCARGADA, RQUIERE MÁS DE 9V PARA FUNCIONAR CORRECTANMENTE</t>
        </is>
      </c>
      <c r="U158" s="87" t="inlineStr">
        <is>
          <t>CAMBIO DE BATERÍA</t>
        </is>
      </c>
      <c r="V158" s="91" t="inlineStr">
        <is>
          <t>Operativo</t>
        </is>
      </c>
      <c r="W158" s="91" t="n"/>
      <c r="X158" s="91" t="n"/>
      <c r="Y158" s="87" t="inlineStr">
        <is>
          <t>Finalizada</t>
        </is>
      </c>
      <c r="Z158" s="87" t="n"/>
      <c r="AA158" s="87" t="inlineStr">
        <is>
          <t>Monitor</t>
        </is>
      </c>
    </row>
    <row r="159" ht="60" customHeight="1" s="157">
      <c r="A159" s="22" t="inlineStr">
        <is>
          <t>S-156</t>
        </is>
      </c>
      <c r="B159" s="83" t="inlineStr">
        <is>
          <t>MARIA FERNANDA LAVERDE</t>
        </is>
      </c>
      <c r="C159" s="101" t="n">
        <v>20212007030</v>
      </c>
      <c r="D159" s="83" t="inlineStr">
        <is>
          <t>MIC</t>
        </is>
      </c>
      <c r="E159" s="84" t="n">
        <v>45420</v>
      </c>
      <c r="F159" s="85" t="n"/>
      <c r="G159" s="93" t="inlineStr">
        <is>
          <t>MULTIMETRO</t>
        </is>
      </c>
      <c r="H159" s="91" t="n"/>
      <c r="I159" s="98" t="n"/>
      <c r="J159" s="91" t="n"/>
      <c r="K159" s="98" t="n"/>
      <c r="L159" s="91" t="n"/>
      <c r="M159" s="91" t="n"/>
      <c r="N159" s="91" t="inlineStr">
        <is>
          <t>LA PANTALLA SE QUEDA INMOVIL, NO DEJA HACER NADA</t>
        </is>
      </c>
      <c r="O159" s="91" t="n"/>
      <c r="P159" s="87" t="inlineStr">
        <is>
          <t>MICHAEL MORA</t>
        </is>
      </c>
      <c r="Q159" s="95" t="n">
        <v>45503</v>
      </c>
      <c r="R159" s="95" t="n"/>
      <c r="S159" s="95" t="n"/>
      <c r="T159" s="91" t="inlineStr">
        <is>
          <t>BATERÍA DESCARGADA, RQUIERE MÁS DE 9V PARA FUNCIONAR CORRECTANMENTE</t>
        </is>
      </c>
      <c r="U159" s="87" t="inlineStr">
        <is>
          <t>CAMBIO DE BATERÍA</t>
        </is>
      </c>
      <c r="V159" s="91" t="inlineStr">
        <is>
          <t>Operativo</t>
        </is>
      </c>
      <c r="W159" s="91" t="n"/>
      <c r="X159" s="91" t="n"/>
      <c r="Y159" s="87" t="inlineStr">
        <is>
          <t>Finalizada</t>
        </is>
      </c>
      <c r="Z159" s="87" t="n"/>
      <c r="AA159" s="87" t="inlineStr">
        <is>
          <t>Monitor</t>
        </is>
      </c>
    </row>
    <row r="160" ht="45" customHeight="1" s="157">
      <c r="A160" s="22" t="inlineStr">
        <is>
          <t>S-157</t>
        </is>
      </c>
      <c r="B160" s="83" t="inlineStr">
        <is>
          <t>SANTIAGO ALFONSO MEDINA</t>
        </is>
      </c>
      <c r="C160" s="101" t="n">
        <v>20191005131</v>
      </c>
      <c r="D160" s="83" t="inlineStr">
        <is>
          <t>MIC</t>
        </is>
      </c>
      <c r="E160" s="84" t="n">
        <v>45261</v>
      </c>
      <c r="F160" s="85" t="n">
        <v>0.25</v>
      </c>
      <c r="G160" s="93" t="inlineStr">
        <is>
          <t>FUENTE DC</t>
        </is>
      </c>
      <c r="H160" s="91" t="inlineStr">
        <is>
          <t>PEAKTECH</t>
        </is>
      </c>
      <c r="I160" s="98" t="n"/>
      <c r="J160" s="91" t="inlineStr">
        <is>
          <t>70</t>
        </is>
      </c>
      <c r="K160" s="98" t="n">
        <v>604</v>
      </c>
      <c r="L160" s="91" t="inlineStr">
        <is>
          <t>ADICIONAL</t>
        </is>
      </c>
      <c r="M160" s="91" t="inlineStr">
        <is>
          <t>1</t>
        </is>
      </c>
      <c r="N160" s="91" t="inlineStr">
        <is>
          <t>UNA DE LAS SALIDAS DE LA FUENTE NO SE MUEVE (CAMBIA EL VOLTAHE) Y MUESTRA 51 V</t>
        </is>
      </c>
      <c r="O160" s="91" t="n"/>
      <c r="P160" s="87" t="n"/>
      <c r="Q160" s="95" t="n"/>
      <c r="R160" s="95" t="n"/>
      <c r="S160" s="95" t="n"/>
      <c r="T160" s="91" t="n"/>
      <c r="U160" s="87" t="n"/>
      <c r="V160" s="91" t="n"/>
      <c r="W160" s="91" t="n"/>
      <c r="X160" s="91" t="n"/>
      <c r="Y160" s="91" t="inlineStr">
        <is>
          <t>Pendiente</t>
        </is>
      </c>
      <c r="Z160" s="87" t="n"/>
      <c r="AA160" s="87" t="inlineStr">
        <is>
          <t xml:space="preserve">Estudiante </t>
        </is>
      </c>
    </row>
    <row r="161">
      <c r="A161" s="22" t="inlineStr">
        <is>
          <t>S-158</t>
        </is>
      </c>
      <c r="B161" s="83" t="inlineStr">
        <is>
          <t>LISA LEÓN</t>
        </is>
      </c>
      <c r="C161" s="101" t="n">
        <v>201920573698</v>
      </c>
      <c r="D161" s="83" t="inlineStr">
        <is>
          <t>MIC</t>
        </is>
      </c>
      <c r="E161" s="84" t="n">
        <v>45392</v>
      </c>
      <c r="F161" s="85" t="n">
        <v>0.3333333333333333</v>
      </c>
      <c r="G161" s="93" t="inlineStr">
        <is>
          <t>VATIMETRO</t>
        </is>
      </c>
      <c r="H161" s="91" t="inlineStr">
        <is>
          <t>PEAKTECH</t>
        </is>
      </c>
      <c r="I161" s="98" t="n"/>
      <c r="J161" s="91" t="inlineStr">
        <is>
          <t>4119564</t>
        </is>
      </c>
      <c r="K161" s="98" t="n">
        <v>607</v>
      </c>
      <c r="L161" s="91" t="inlineStr">
        <is>
          <t>CIRCUITOS II</t>
        </is>
      </c>
      <c r="M161" s="91" t="inlineStr">
        <is>
          <t>3</t>
        </is>
      </c>
      <c r="N161" s="91" t="inlineStr">
        <is>
          <t>NO FUNCIONA CORRECTAMENTE</t>
        </is>
      </c>
      <c r="O161" s="91" t="n"/>
      <c r="P161" s="87" t="n"/>
      <c r="Q161" s="95" t="n"/>
      <c r="R161" s="95" t="n"/>
      <c r="S161" s="95" t="n"/>
      <c r="T161" s="91" t="n"/>
      <c r="U161" s="87" t="n"/>
      <c r="V161" s="91" t="n"/>
      <c r="W161" s="91" t="n"/>
      <c r="X161" s="91" t="n"/>
      <c r="Y161" s="91" t="inlineStr">
        <is>
          <t>Pendiente</t>
        </is>
      </c>
      <c r="Z161" s="87" t="n"/>
      <c r="AA161" s="87" t="inlineStr">
        <is>
          <t>Monitor</t>
        </is>
      </c>
    </row>
    <row r="162" ht="30" customHeight="1" s="157">
      <c r="A162" s="22" t="inlineStr">
        <is>
          <t>S-159</t>
        </is>
      </c>
      <c r="B162" s="83" t="inlineStr">
        <is>
          <t xml:space="preserve">ANA MARIA ZAMBRANO </t>
        </is>
      </c>
      <c r="C162" s="101" t="n">
        <v>20201025058</v>
      </c>
      <c r="D162" s="83" t="inlineStr">
        <is>
          <t>MIC</t>
        </is>
      </c>
      <c r="E162" s="84" t="n">
        <v>45392</v>
      </c>
      <c r="F162" s="85" t="n">
        <v>0.3333333333333333</v>
      </c>
      <c r="G162" s="93" t="inlineStr">
        <is>
          <t>MULTIMETRO</t>
        </is>
      </c>
      <c r="H162" s="91" t="inlineStr">
        <is>
          <t>ERASMUS</t>
        </is>
      </c>
      <c r="I162" s="98" t="n"/>
      <c r="J162" s="91" t="inlineStr">
        <is>
          <t>64</t>
        </is>
      </c>
      <c r="K162" s="98" t="n">
        <v>509</v>
      </c>
      <c r="L162" s="91" t="inlineStr">
        <is>
          <t>FISICA II</t>
        </is>
      </c>
      <c r="M162" s="91" t="inlineStr">
        <is>
          <t>4</t>
        </is>
      </c>
      <c r="N162" s="91" t="inlineStr">
        <is>
          <t>EL MULTIMETRO NO LLEGA O DETECTA EL VOLTAJE ESPERADO</t>
        </is>
      </c>
      <c r="O162" s="91" t="n"/>
      <c r="P162" s="87" t="n"/>
      <c r="Q162" s="95" t="n"/>
      <c r="R162" s="95" t="n"/>
      <c r="S162" s="95" t="n"/>
      <c r="T162" s="91" t="n"/>
      <c r="U162" s="87" t="n"/>
      <c r="V162" s="91" t="n"/>
      <c r="W162" s="91" t="n"/>
      <c r="X162" s="91" t="n"/>
      <c r="Y162" s="91" t="inlineStr">
        <is>
          <t>Pendiente</t>
        </is>
      </c>
      <c r="Z162" s="87" t="n"/>
      <c r="AA162" s="87" t="inlineStr">
        <is>
          <t xml:space="preserve">Estudiante </t>
        </is>
      </c>
    </row>
    <row r="163" ht="30" customHeight="1" s="157">
      <c r="A163" s="22" t="inlineStr">
        <is>
          <t>S-160</t>
        </is>
      </c>
      <c r="B163" s="83" t="inlineStr">
        <is>
          <t>ALEJANDRO OROZCO GONZALEZ</t>
        </is>
      </c>
      <c r="C163" s="101" t="n">
        <v>20201005123</v>
      </c>
      <c r="D163" s="83" t="inlineStr">
        <is>
          <t>MIC</t>
        </is>
      </c>
      <c r="E163" s="84" t="n">
        <v>45399</v>
      </c>
      <c r="F163" s="85" t="n">
        <v>0.3611111111111111</v>
      </c>
      <c r="G163" s="93" t="inlineStr">
        <is>
          <t>MULTIMETRO</t>
        </is>
      </c>
      <c r="H163" s="91" t="inlineStr">
        <is>
          <t>ERASMUS</t>
        </is>
      </c>
      <c r="I163" s="98" t="n"/>
      <c r="J163" s="91" t="inlineStr">
        <is>
          <t>10</t>
        </is>
      </c>
      <c r="K163" s="98" t="n">
        <v>606</v>
      </c>
      <c r="L163" s="91" t="inlineStr">
        <is>
          <t>ELECTRONICA DE POTENCIA</t>
        </is>
      </c>
      <c r="M163" s="91" t="inlineStr">
        <is>
          <t>5</t>
        </is>
      </c>
      <c r="N163" s="91" t="inlineStr">
        <is>
          <t>CAMBIO DE FUSIBLE DE CORRIENTE 10 A</t>
        </is>
      </c>
      <c r="O163" s="91" t="n"/>
      <c r="P163" s="87" t="n"/>
      <c r="Q163" s="95" t="n"/>
      <c r="R163" s="95" t="n"/>
      <c r="S163" s="95" t="n"/>
      <c r="T163" s="91" t="n"/>
      <c r="U163" s="87" t="n"/>
      <c r="V163" s="91" t="n"/>
      <c r="W163" s="91" t="n"/>
      <c r="X163" s="91" t="n"/>
      <c r="Y163" s="91" t="inlineStr">
        <is>
          <t>Pendiente</t>
        </is>
      </c>
      <c r="Z163" s="87" t="n"/>
      <c r="AA163" s="87" t="inlineStr">
        <is>
          <t xml:space="preserve">Estudiante </t>
        </is>
      </c>
    </row>
    <row r="164" ht="60" customHeight="1" s="157">
      <c r="A164" s="22" t="inlineStr">
        <is>
          <t>S-161</t>
        </is>
      </c>
      <c r="B164" s="83" t="inlineStr">
        <is>
          <t>NATALY ROMERO GARAY</t>
        </is>
      </c>
      <c r="C164" s="101" t="n">
        <v>20232005020</v>
      </c>
      <c r="D164" s="83" t="inlineStr">
        <is>
          <t>MIC</t>
        </is>
      </c>
      <c r="E164" s="84" t="n">
        <v>45337</v>
      </c>
      <c r="F164" s="85" t="n"/>
      <c r="G164" s="93" t="inlineStr">
        <is>
          <t>JUEGO DE ELEMENTOS ELECTROSTATICA</t>
        </is>
      </c>
      <c r="H164" s="91" t="inlineStr">
        <is>
          <t>CORNELSEL EXPERIMENTA</t>
        </is>
      </c>
      <c r="I164" s="98" t="n"/>
      <c r="J164" s="91" t="inlineStr">
        <is>
          <t>408392</t>
        </is>
      </c>
      <c r="K164" s="98" t="n">
        <v>509</v>
      </c>
      <c r="L164" s="91" t="n"/>
      <c r="M164" s="91" t="n"/>
      <c r="N164" s="91" t="inlineStr">
        <is>
          <t>SE ENCUENTRA TUBO ROTO</t>
        </is>
      </c>
      <c r="O164" s="91" t="n"/>
      <c r="P164" s="87" t="n"/>
      <c r="Q164" s="95" t="n"/>
      <c r="R164" s="95" t="n"/>
      <c r="S164" s="95" t="n"/>
      <c r="T164" s="91" t="n"/>
      <c r="U164" s="87" t="n"/>
      <c r="V164" s="91" t="n"/>
      <c r="W164" s="91" t="n"/>
      <c r="X164" s="91" t="n"/>
      <c r="Y164" s="91" t="inlineStr">
        <is>
          <t>Pendiente</t>
        </is>
      </c>
      <c r="Z164" s="87" t="n"/>
      <c r="AA164" s="87" t="inlineStr">
        <is>
          <t xml:space="preserve">Estudiante </t>
        </is>
      </c>
    </row>
    <row r="165" ht="30" customHeight="1" s="157">
      <c r="A165" s="22" t="inlineStr">
        <is>
          <t>S-162</t>
        </is>
      </c>
      <c r="B165" s="83" t="inlineStr">
        <is>
          <t>juan cañas</t>
        </is>
      </c>
      <c r="C165" s="101" t="inlineStr">
        <is>
          <t>1005205581</t>
        </is>
      </c>
      <c r="D165" s="83" t="inlineStr">
        <is>
          <t>MIC</t>
        </is>
      </c>
      <c r="E165" s="84" t="inlineStr">
        <is>
          <t>12/09/2001</t>
        </is>
      </c>
      <c r="F165" s="85" t="inlineStr">
        <is>
          <t>12:00</t>
        </is>
      </c>
      <c r="G165" s="93" t="inlineStr">
        <is>
          <t>moto</t>
        </is>
      </c>
      <c r="H165" s="91" t="inlineStr">
        <is>
          <t>fz</t>
        </is>
      </c>
      <c r="I165" s="98" t="inlineStr">
        <is>
          <t>erk11e</t>
        </is>
      </c>
      <c r="J165" s="91" t="inlineStr">
        <is>
          <t>11e</t>
        </is>
      </c>
      <c r="K165" s="98" t="inlineStr">
        <is>
          <t>maquians a</t>
        </is>
      </c>
      <c r="L165" s="91" t="inlineStr">
        <is>
          <t>ingles</t>
        </is>
      </c>
      <c r="M165" s="91" t="inlineStr">
        <is>
          <t>b3</t>
        </is>
      </c>
      <c r="N165" s="91" t="inlineStr">
        <is>
          <t xml:space="preserve">falla el lcr
</t>
        </is>
      </c>
      <c r="O165" s="91" t="inlineStr"/>
      <c r="P165" s="87" t="inlineStr"/>
      <c r="Q165" s="95" t="inlineStr"/>
      <c r="R165" s="95" t="inlineStr"/>
      <c r="S165" s="95" t="inlineStr"/>
      <c r="T165" s="91" t="inlineStr"/>
      <c r="U165" s="87" t="inlineStr"/>
      <c r="V165" s="91" t="inlineStr"/>
      <c r="W165" s="91" t="inlineStr"/>
      <c r="X165" s="91" t="inlineStr"/>
      <c r="Y165" s="91" t="inlineStr">
        <is>
          <t>Pendiente</t>
        </is>
      </c>
      <c r="Z165" s="87" t="inlineStr">
        <is>
          <t>31444666977</t>
        </is>
      </c>
      <c r="AA165" s="87" t="inlineStr">
        <is>
          <t>Estudiante</t>
        </is>
      </c>
    </row>
    <row r="166">
      <c r="A166" s="22" t="inlineStr">
        <is>
          <t>S-163</t>
        </is>
      </c>
      <c r="B166" s="83" t="inlineStr">
        <is>
          <t>d</t>
        </is>
      </c>
      <c r="C166" s="101" t="inlineStr">
        <is>
          <t>f</t>
        </is>
      </c>
      <c r="D166" s="83" t="inlineStr">
        <is>
          <t>MIPV</t>
        </is>
      </c>
      <c r="E166" s="84" t="inlineStr"/>
      <c r="F166" s="85" t="inlineStr"/>
      <c r="G166" s="93" t="inlineStr">
        <is>
          <t>d</t>
        </is>
      </c>
      <c r="H166" s="91" t="inlineStr">
        <is>
          <t>dd</t>
        </is>
      </c>
      <c r="I166" s="98" t="inlineStr">
        <is>
          <t>d</t>
        </is>
      </c>
      <c r="J166" s="91" t="inlineStr">
        <is>
          <t>d</t>
        </is>
      </c>
      <c r="K166" s="98" t="inlineStr">
        <is>
          <t>d</t>
        </is>
      </c>
      <c r="L166" s="91" t="inlineStr">
        <is>
          <t>d</t>
        </is>
      </c>
      <c r="M166" s="91" t="inlineStr">
        <is>
          <t>d</t>
        </is>
      </c>
      <c r="N166" s="91" t="inlineStr">
        <is>
          <t>dfsfsd</t>
        </is>
      </c>
      <c r="O166" s="91" t="inlineStr"/>
      <c r="P166" s="87" t="inlineStr"/>
      <c r="Q166" s="95" t="inlineStr"/>
      <c r="R166" s="95" t="inlineStr"/>
      <c r="S166" s="95" t="inlineStr"/>
      <c r="T166" s="91" t="inlineStr"/>
      <c r="U166" s="87" t="inlineStr"/>
      <c r="V166" s="91" t="inlineStr"/>
      <c r="W166" s="91" t="inlineStr"/>
      <c r="X166" s="91" t="inlineStr"/>
      <c r="Y166" s="91" t="inlineStr">
        <is>
          <t>Pendiente</t>
        </is>
      </c>
      <c r="Z166" s="87" t="inlineStr">
        <is>
          <t>f</t>
        </is>
      </c>
      <c r="AA166" s="87" t="inlineStr">
        <is>
          <t>Estudiante</t>
        </is>
      </c>
    </row>
    <row r="167">
      <c r="A167" s="22" t="inlineStr">
        <is>
          <t>S-164</t>
        </is>
      </c>
      <c r="B167" s="83" t="inlineStr">
        <is>
          <t>c</t>
        </is>
      </c>
      <c r="C167" s="101" t="inlineStr">
        <is>
          <t>c</t>
        </is>
      </c>
      <c r="D167" s="83" t="inlineStr">
        <is>
          <t>MIP</t>
        </is>
      </c>
      <c r="E167" s="84" t="inlineStr">
        <is>
          <t>cvxc</t>
        </is>
      </c>
      <c r="F167" s="85" t="inlineStr">
        <is>
          <t>xcv</t>
        </is>
      </c>
      <c r="G167" s="93" t="inlineStr">
        <is>
          <t>c</t>
        </is>
      </c>
      <c r="H167" s="91" t="inlineStr">
        <is>
          <t>c</t>
        </is>
      </c>
      <c r="I167" s="98" t="inlineStr">
        <is>
          <t>cvx</t>
        </is>
      </c>
      <c r="J167" s="91" t="inlineStr">
        <is>
          <t>c</t>
        </is>
      </c>
      <c r="K167" s="98" t="inlineStr">
        <is>
          <t>c</t>
        </is>
      </c>
      <c r="L167" s="91" t="inlineStr">
        <is>
          <t>xc</t>
        </is>
      </c>
      <c r="M167" s="91" t="inlineStr">
        <is>
          <t>c</t>
        </is>
      </c>
      <c r="N167" s="91" t="inlineStr">
        <is>
          <t>xc</t>
        </is>
      </c>
      <c r="O167" s="91" t="inlineStr"/>
      <c r="P167" s="87" t="inlineStr"/>
      <c r="Q167" s="95" t="inlineStr"/>
      <c r="R167" s="95" t="inlineStr"/>
      <c r="S167" s="95" t="inlineStr"/>
      <c r="T167" s="91" t="inlineStr"/>
      <c r="U167" s="87" t="inlineStr"/>
      <c r="V167" s="91" t="inlineStr"/>
      <c r="W167" s="91" t="inlineStr"/>
      <c r="X167" s="91" t="inlineStr"/>
      <c r="Y167" s="91" t="inlineStr">
        <is>
          <t>Pendiente</t>
        </is>
      </c>
      <c r="Z167" s="87" t="inlineStr">
        <is>
          <t>xcv</t>
        </is>
      </c>
      <c r="AA167" s="87" t="inlineStr">
        <is>
          <t>Estudiante</t>
        </is>
      </c>
    </row>
    <row r="168">
      <c r="A168" s="22" t="n"/>
      <c r="B168" s="83" t="n"/>
      <c r="C168" s="101" t="n"/>
      <c r="D168" s="83" t="n"/>
      <c r="E168" s="84" t="n"/>
      <c r="F168" s="85" t="n"/>
      <c r="G168" s="93" t="n"/>
      <c r="H168" s="91" t="n"/>
      <c r="I168" s="98" t="n"/>
      <c r="J168" s="91" t="n"/>
      <c r="K168" s="98" t="n"/>
      <c r="L168" s="91" t="n"/>
      <c r="M168" s="91" t="n"/>
      <c r="N168" s="91" t="n"/>
      <c r="O168" s="91" t="n"/>
      <c r="P168" s="87" t="n"/>
      <c r="Q168" s="95" t="n"/>
      <c r="R168" s="95" t="n"/>
      <c r="S168" s="95" t="n"/>
      <c r="T168" s="91" t="n"/>
      <c r="U168" s="87" t="n"/>
      <c r="V168" s="91" t="n"/>
      <c r="W168" s="91" t="n"/>
      <c r="X168" s="91" t="n"/>
      <c r="Y168" s="91" t="n"/>
      <c r="Z168" s="87" t="n"/>
      <c r="AA168" s="87" t="n"/>
    </row>
    <row r="169">
      <c r="A169" s="22" t="n"/>
      <c r="B169" s="83" t="n"/>
      <c r="C169" s="101" t="n"/>
      <c r="D169" s="83" t="n"/>
      <c r="E169" s="84" t="n"/>
      <c r="F169" s="85" t="n"/>
      <c r="G169" s="93" t="n"/>
      <c r="H169" s="91" t="n"/>
      <c r="I169" s="98" t="n"/>
      <c r="J169" s="91" t="n"/>
      <c r="K169" s="98" t="n"/>
      <c r="L169" s="91" t="n"/>
      <c r="M169" s="91" t="n"/>
      <c r="N169" s="91" t="n"/>
      <c r="O169" s="91" t="n"/>
      <c r="P169" s="87" t="n"/>
      <c r="Q169" s="95" t="n"/>
      <c r="R169" s="95" t="n"/>
      <c r="S169" s="95" t="n"/>
      <c r="T169" s="91" t="n"/>
      <c r="U169" s="87" t="n"/>
      <c r="V169" s="91" t="n"/>
      <c r="W169" s="91" t="n"/>
      <c r="X169" s="91" t="n"/>
      <c r="Y169" s="91" t="n"/>
      <c r="Z169" s="87" t="n"/>
      <c r="AA169" s="87" t="n"/>
    </row>
    <row r="170">
      <c r="A170" s="22" t="n"/>
      <c r="B170" s="83" t="n"/>
      <c r="C170" s="101" t="n"/>
      <c r="D170" s="83" t="n"/>
      <c r="E170" s="84" t="n"/>
      <c r="F170" s="85" t="n"/>
      <c r="G170" s="93" t="n"/>
      <c r="H170" s="91" t="n"/>
      <c r="I170" s="98" t="n"/>
      <c r="J170" s="91" t="n"/>
      <c r="K170" s="98" t="n"/>
      <c r="L170" s="91" t="n"/>
      <c r="M170" s="91" t="n"/>
      <c r="N170" s="91" t="n"/>
      <c r="O170" s="91" t="n"/>
      <c r="P170" s="87" t="n"/>
      <c r="Q170" s="95" t="n"/>
      <c r="R170" s="95" t="n"/>
      <c r="S170" s="95" t="n"/>
      <c r="T170" s="91" t="n"/>
      <c r="U170" s="87" t="n"/>
      <c r="V170" s="91" t="n"/>
      <c r="W170" s="91" t="n"/>
      <c r="X170" s="91" t="n"/>
      <c r="Y170" s="91" t="n"/>
      <c r="Z170" s="87" t="n"/>
      <c r="AA170" s="87" t="n"/>
    </row>
    <row r="171">
      <c r="A171" s="22" t="n"/>
      <c r="B171" s="83" t="n"/>
      <c r="C171" s="101" t="n"/>
      <c r="D171" s="83" t="n"/>
      <c r="E171" s="84" t="n"/>
      <c r="F171" s="85" t="n"/>
      <c r="G171" s="93" t="n"/>
      <c r="H171" s="91" t="n"/>
      <c r="I171" s="98" t="n"/>
      <c r="J171" s="91" t="n"/>
      <c r="K171" s="98" t="n"/>
      <c r="L171" s="91" t="n"/>
      <c r="M171" s="91" t="n"/>
      <c r="N171" s="91" t="n"/>
      <c r="O171" s="91" t="n"/>
      <c r="P171" s="87" t="n"/>
      <c r="Q171" s="95" t="n"/>
      <c r="R171" s="95" t="n"/>
      <c r="S171" s="95" t="n"/>
      <c r="T171" s="91" t="n"/>
      <c r="U171" s="87" t="n"/>
      <c r="V171" s="91" t="n"/>
      <c r="W171" s="91" t="n"/>
      <c r="X171" s="91" t="n"/>
      <c r="Y171" s="91" t="n"/>
      <c r="Z171" s="87" t="n"/>
      <c r="AA171" s="87" t="n"/>
    </row>
    <row r="172">
      <c r="A172" s="22" t="n"/>
      <c r="B172" s="83" t="n"/>
      <c r="C172" s="101" t="n"/>
      <c r="D172" s="83" t="n"/>
      <c r="E172" s="84" t="n"/>
      <c r="F172" s="85" t="n"/>
      <c r="G172" s="93" t="n"/>
      <c r="H172" s="91" t="n"/>
      <c r="I172" s="98" t="n"/>
      <c r="J172" s="91" t="n"/>
      <c r="K172" s="98" t="n"/>
      <c r="L172" s="91" t="n"/>
      <c r="M172" s="91" t="n"/>
      <c r="N172" s="91" t="n"/>
      <c r="O172" s="91" t="n"/>
      <c r="P172" s="87" t="n"/>
      <c r="Q172" s="95" t="n"/>
      <c r="R172" s="95" t="n"/>
      <c r="S172" s="95" t="n"/>
      <c r="T172" s="91" t="n"/>
      <c r="U172" s="87" t="n"/>
      <c r="V172" s="91" t="n"/>
      <c r="W172" s="91" t="n"/>
      <c r="X172" s="91" t="n"/>
      <c r="Y172" s="91" t="n"/>
      <c r="Z172" s="87" t="n"/>
      <c r="AA172" s="87" t="n"/>
    </row>
    <row r="173">
      <c r="A173" s="22" t="n"/>
      <c r="B173" s="83" t="n"/>
      <c r="C173" s="101" t="n"/>
      <c r="D173" s="83" t="n"/>
      <c r="E173" s="84" t="n"/>
      <c r="F173" s="85" t="n"/>
      <c r="G173" s="93" t="n"/>
      <c r="H173" s="91" t="n"/>
      <c r="I173" s="98" t="n"/>
      <c r="J173" s="91" t="n"/>
      <c r="K173" s="98" t="n"/>
      <c r="L173" s="91" t="n"/>
      <c r="M173" s="91" t="n"/>
      <c r="N173" s="91" t="n"/>
      <c r="O173" s="91" t="n"/>
      <c r="P173" s="87" t="n"/>
      <c r="Q173" s="95" t="n"/>
      <c r="R173" s="95" t="n"/>
      <c r="S173" s="95" t="n"/>
      <c r="T173" s="91" t="n"/>
      <c r="U173" s="87" t="n"/>
      <c r="V173" s="91" t="n"/>
      <c r="W173" s="91" t="n"/>
      <c r="X173" s="91" t="n"/>
      <c r="Y173" s="91" t="n"/>
      <c r="Z173" s="87" t="n"/>
      <c r="AA173" s="87" t="n"/>
    </row>
    <row r="174">
      <c r="A174" s="22" t="n"/>
      <c r="B174" s="83" t="n"/>
      <c r="C174" s="101" t="n"/>
      <c r="D174" s="83" t="n"/>
      <c r="E174" s="84" t="n"/>
      <c r="F174" s="85" t="n"/>
      <c r="G174" s="93" t="n"/>
      <c r="H174" s="91" t="n"/>
      <c r="I174" s="98" t="n"/>
      <c r="J174" s="91" t="n"/>
      <c r="K174" s="98" t="n"/>
      <c r="L174" s="91" t="n"/>
      <c r="M174" s="91" t="n"/>
      <c r="N174" s="91" t="n"/>
      <c r="O174" s="91" t="n"/>
      <c r="P174" s="87" t="n"/>
      <c r="Q174" s="95" t="n"/>
      <c r="R174" s="95" t="n"/>
      <c r="S174" s="95" t="n"/>
      <c r="T174" s="91" t="n"/>
      <c r="U174" s="87" t="n"/>
      <c r="V174" s="91" t="n"/>
      <c r="W174" s="91" t="n"/>
      <c r="X174" s="91" t="n"/>
      <c r="Y174" s="91" t="n"/>
      <c r="Z174" s="87" t="n"/>
      <c r="AA174" s="87" t="n"/>
    </row>
    <row r="175">
      <c r="A175" s="22" t="n"/>
      <c r="B175" s="83" t="n"/>
      <c r="C175" s="101" t="n"/>
      <c r="D175" s="83" t="n"/>
      <c r="E175" s="84" t="n"/>
      <c r="F175" s="85" t="n"/>
      <c r="G175" s="93" t="n"/>
      <c r="H175" s="91" t="n"/>
      <c r="I175" s="98" t="n"/>
      <c r="J175" s="91" t="n"/>
      <c r="K175" s="98" t="n"/>
      <c r="L175" s="91" t="n"/>
      <c r="M175" s="91" t="n"/>
      <c r="N175" s="91" t="n"/>
      <c r="O175" s="91" t="n"/>
      <c r="P175" s="87" t="n"/>
      <c r="Q175" s="95" t="n"/>
      <c r="R175" s="95" t="n"/>
      <c r="S175" s="95" t="n"/>
      <c r="T175" s="91" t="n"/>
      <c r="U175" s="87" t="n"/>
      <c r="V175" s="91" t="n"/>
      <c r="W175" s="91" t="n"/>
      <c r="X175" s="91" t="n"/>
      <c r="Y175" s="91" t="n"/>
      <c r="Z175" s="87" t="n"/>
      <c r="AA175" s="87" t="n"/>
    </row>
    <row r="176">
      <c r="A176" s="22" t="n"/>
      <c r="B176" s="83" t="n"/>
      <c r="C176" s="101" t="n"/>
      <c r="D176" s="83" t="n"/>
      <c r="E176" s="84" t="n"/>
      <c r="F176" s="85" t="n"/>
      <c r="G176" s="93" t="n"/>
      <c r="H176" s="91" t="n"/>
      <c r="I176" s="98" t="n"/>
      <c r="J176" s="91" t="n"/>
      <c r="K176" s="98" t="n"/>
      <c r="L176" s="91" t="n"/>
      <c r="M176" s="91" t="n"/>
      <c r="N176" s="91" t="n"/>
      <c r="O176" s="91" t="n"/>
      <c r="P176" s="87" t="n"/>
      <c r="Q176" s="95" t="n"/>
      <c r="R176" s="95" t="n"/>
      <c r="S176" s="95" t="n"/>
      <c r="T176" s="91" t="n"/>
      <c r="U176" s="87" t="n"/>
      <c r="V176" s="91" t="n"/>
      <c r="W176" s="91" t="n"/>
      <c r="X176" s="91" t="n"/>
      <c r="Y176" s="91" t="n"/>
      <c r="Z176" s="87" t="n"/>
      <c r="AA176" s="87" t="n"/>
    </row>
    <row r="177">
      <c r="A177" s="22" t="n"/>
      <c r="B177" s="83" t="n"/>
      <c r="C177" s="101" t="n"/>
      <c r="D177" s="83" t="n"/>
      <c r="E177" s="84" t="n"/>
      <c r="F177" s="85" t="n"/>
      <c r="G177" s="93" t="n"/>
      <c r="H177" s="91" t="n"/>
      <c r="I177" s="98" t="n"/>
      <c r="J177" s="91" t="n"/>
      <c r="K177" s="98" t="n"/>
      <c r="L177" s="91" t="n"/>
      <c r="M177" s="91" t="n"/>
      <c r="N177" s="91" t="n"/>
      <c r="O177" s="91" t="n"/>
      <c r="P177" s="87" t="n"/>
      <c r="Q177" s="95" t="n"/>
      <c r="R177" s="95" t="n"/>
      <c r="S177" s="95" t="n"/>
      <c r="T177" s="91" t="n"/>
      <c r="U177" s="87" t="n"/>
      <c r="V177" s="91" t="n"/>
      <c r="W177" s="91" t="n"/>
      <c r="X177" s="91" t="n"/>
      <c r="Y177" s="91" t="n"/>
      <c r="Z177" s="87" t="n"/>
      <c r="AA177" s="87" t="n"/>
    </row>
    <row r="178">
      <c r="A178" s="22" t="n"/>
      <c r="B178" s="83" t="n"/>
      <c r="C178" s="101" t="n"/>
      <c r="D178" s="83" t="n"/>
      <c r="E178" s="84" t="n"/>
      <c r="F178" s="85" t="n"/>
      <c r="G178" s="93" t="n"/>
      <c r="H178" s="91" t="n"/>
      <c r="I178" s="98" t="n"/>
      <c r="J178" s="91" t="n"/>
      <c r="K178" s="98" t="n"/>
      <c r="L178" s="91" t="n"/>
      <c r="M178" s="91" t="n"/>
      <c r="N178" s="91" t="n"/>
      <c r="O178" s="91" t="n"/>
      <c r="P178" s="87" t="n"/>
      <c r="Q178" s="95" t="n"/>
      <c r="R178" s="95" t="n"/>
      <c r="S178" s="95" t="n"/>
      <c r="T178" s="91" t="n"/>
      <c r="U178" s="87" t="n"/>
      <c r="V178" s="91" t="n"/>
      <c r="W178" s="91" t="n"/>
      <c r="X178" s="91" t="n"/>
      <c r="Y178" s="91" t="n"/>
      <c r="Z178" s="87" t="n"/>
      <c r="AA178" s="87" t="n"/>
    </row>
    <row r="179">
      <c r="A179" s="22" t="n"/>
      <c r="B179" s="83" t="n"/>
      <c r="C179" s="101" t="n"/>
      <c r="D179" s="83" t="n"/>
      <c r="E179" s="84" t="n"/>
      <c r="F179" s="85" t="n"/>
      <c r="G179" s="93" t="n"/>
      <c r="H179" s="91" t="n"/>
      <c r="I179" s="98" t="n"/>
      <c r="J179" s="91" t="n"/>
      <c r="K179" s="98" t="n"/>
      <c r="L179" s="91" t="n"/>
      <c r="M179" s="91" t="n"/>
      <c r="N179" s="91" t="n"/>
      <c r="O179" s="91" t="n"/>
      <c r="P179" s="87" t="n"/>
      <c r="Q179" s="95" t="n"/>
      <c r="R179" s="95" t="n"/>
      <c r="S179" s="95" t="n"/>
      <c r="T179" s="91" t="n"/>
      <c r="U179" s="87" t="n"/>
      <c r="V179" s="91" t="n"/>
      <c r="W179" s="91" t="n"/>
      <c r="X179" s="91" t="n"/>
      <c r="Y179" s="91" t="n"/>
      <c r="Z179" s="87" t="n"/>
      <c r="AA179" s="87" t="n"/>
    </row>
    <row r="180">
      <c r="A180" s="22" t="n"/>
      <c r="B180" s="83" t="n"/>
      <c r="C180" s="101" t="n"/>
      <c r="D180" s="83" t="n"/>
      <c r="E180" s="84" t="n"/>
      <c r="F180" s="85" t="n"/>
      <c r="G180" s="93" t="n"/>
      <c r="H180" s="91" t="n"/>
      <c r="I180" s="98" t="n"/>
      <c r="J180" s="91" t="n"/>
      <c r="K180" s="98" t="n"/>
      <c r="L180" s="91" t="n"/>
      <c r="M180" s="91" t="n"/>
      <c r="N180" s="91" t="n"/>
      <c r="O180" s="91" t="n"/>
      <c r="P180" s="87" t="n"/>
      <c r="Q180" s="95" t="n"/>
      <c r="R180" s="95" t="n"/>
      <c r="S180" s="95" t="n"/>
      <c r="T180" s="91" t="n"/>
      <c r="U180" s="87" t="n"/>
      <c r="V180" s="91" t="n"/>
      <c r="W180" s="91" t="n"/>
      <c r="X180" s="91" t="n"/>
      <c r="Y180" s="91" t="n"/>
      <c r="Z180" s="87" t="n"/>
      <c r="AA180" s="87" t="n"/>
    </row>
    <row r="181">
      <c r="A181" s="22" t="n"/>
      <c r="B181" s="83" t="n"/>
      <c r="C181" s="101" t="n"/>
      <c r="D181" s="83" t="n"/>
      <c r="E181" s="84" t="n"/>
      <c r="F181" s="85" t="n"/>
      <c r="G181" s="93" t="n"/>
      <c r="H181" s="91" t="n"/>
      <c r="I181" s="98" t="n"/>
      <c r="J181" s="91" t="n"/>
      <c r="K181" s="98" t="n"/>
      <c r="L181" s="91" t="n"/>
      <c r="M181" s="91" t="n"/>
      <c r="N181" s="91" t="n"/>
      <c r="O181" s="91" t="n"/>
      <c r="P181" s="87" t="n"/>
      <c r="Q181" s="95" t="n"/>
      <c r="R181" s="95" t="n"/>
      <c r="S181" s="95" t="n"/>
      <c r="T181" s="91" t="n"/>
      <c r="U181" s="87" t="n"/>
      <c r="V181" s="91" t="n"/>
      <c r="W181" s="91" t="n"/>
      <c r="X181" s="91" t="n"/>
      <c r="Y181" s="91" t="n"/>
      <c r="Z181" s="87" t="n"/>
      <c r="AA181" s="87" t="n"/>
    </row>
    <row r="182">
      <c r="A182" s="22" t="n"/>
      <c r="B182" s="83" t="n"/>
      <c r="C182" s="101" t="n"/>
      <c r="D182" s="83" t="n"/>
      <c r="E182" s="84" t="n"/>
      <c r="F182" s="85" t="n"/>
      <c r="G182" s="93" t="n"/>
      <c r="H182" s="91" t="n"/>
      <c r="I182" s="98" t="n"/>
      <c r="J182" s="91" t="n"/>
      <c r="K182" s="98" t="n"/>
      <c r="L182" s="91" t="n"/>
      <c r="M182" s="91" t="n"/>
      <c r="N182" s="91" t="n"/>
      <c r="O182" s="91" t="n"/>
      <c r="P182" s="87" t="n"/>
      <c r="Q182" s="95" t="n"/>
      <c r="R182" s="95" t="n"/>
      <c r="S182" s="95" t="n"/>
      <c r="T182" s="91" t="n"/>
      <c r="U182" s="87" t="n"/>
      <c r="V182" s="91" t="n"/>
      <c r="W182" s="91" t="n"/>
      <c r="X182" s="91" t="n"/>
      <c r="Y182" s="91" t="n"/>
      <c r="Z182" s="87" t="n"/>
      <c r="AA182" s="87" t="n"/>
    </row>
    <row r="183">
      <c r="A183" s="22" t="n"/>
      <c r="B183" s="83" t="n"/>
      <c r="C183" s="101" t="n"/>
      <c r="D183" s="83" t="n"/>
      <c r="E183" s="84" t="n"/>
      <c r="F183" s="85" t="n"/>
      <c r="G183" s="93" t="n"/>
      <c r="H183" s="91" t="n"/>
      <c r="I183" s="98" t="n"/>
      <c r="J183" s="91" t="n"/>
      <c r="K183" s="98" t="n"/>
      <c r="L183" s="91" t="n"/>
      <c r="M183" s="91" t="n"/>
      <c r="N183" s="91" t="n"/>
      <c r="O183" s="91" t="n"/>
      <c r="P183" s="87" t="n"/>
      <c r="Q183" s="95" t="n"/>
      <c r="R183" s="95" t="n"/>
      <c r="S183" s="95" t="n"/>
      <c r="T183" s="91" t="n"/>
      <c r="U183" s="87" t="n"/>
      <c r="V183" s="91" t="n"/>
      <c r="W183" s="91" t="n"/>
      <c r="X183" s="91" t="n"/>
      <c r="Y183" s="91" t="n"/>
      <c r="Z183" s="87" t="n"/>
      <c r="AA183" s="87" t="n"/>
    </row>
    <row r="184">
      <c r="A184" s="22" t="n"/>
      <c r="B184" s="83" t="n"/>
      <c r="C184" s="101" t="n"/>
      <c r="D184" s="83" t="n"/>
      <c r="E184" s="84" t="n"/>
      <c r="F184" s="85" t="n"/>
      <c r="G184" s="93" t="n"/>
      <c r="H184" s="91" t="n"/>
      <c r="I184" s="98" t="n"/>
      <c r="J184" s="91" t="n"/>
      <c r="K184" s="98" t="n"/>
      <c r="L184" s="91" t="n"/>
      <c r="M184" s="91" t="n"/>
      <c r="N184" s="91" t="n"/>
      <c r="O184" s="91" t="n"/>
      <c r="P184" s="87" t="n"/>
      <c r="Q184" s="95" t="n"/>
      <c r="R184" s="95" t="n"/>
      <c r="S184" s="95" t="n"/>
      <c r="T184" s="91" t="n"/>
      <c r="U184" s="87" t="n"/>
      <c r="V184" s="91" t="n"/>
      <c r="W184" s="91" t="n"/>
      <c r="X184" s="91" t="n"/>
      <c r="Y184" s="91" t="n"/>
      <c r="Z184" s="87" t="n"/>
      <c r="AA184" s="87" t="n"/>
    </row>
    <row r="185">
      <c r="A185" s="22" t="n"/>
      <c r="B185" s="83" t="n"/>
      <c r="C185" s="101" t="n"/>
      <c r="D185" s="83" t="n"/>
      <c r="E185" s="84" t="n"/>
      <c r="F185" s="85" t="n"/>
      <c r="G185" s="93" t="n"/>
      <c r="H185" s="91" t="n"/>
      <c r="I185" s="98" t="n"/>
      <c r="J185" s="91" t="n"/>
      <c r="K185" s="98" t="n"/>
      <c r="L185" s="91" t="n"/>
      <c r="M185" s="91" t="n"/>
      <c r="N185" s="91" t="n"/>
      <c r="O185" s="91" t="n"/>
      <c r="P185" s="87" t="n"/>
      <c r="Q185" s="95" t="n"/>
      <c r="R185" s="95" t="n"/>
      <c r="S185" s="95" t="n"/>
      <c r="T185" s="91" t="n"/>
      <c r="U185" s="87" t="n"/>
      <c r="V185" s="91" t="n"/>
      <c r="W185" s="91" t="n"/>
      <c r="X185" s="91" t="n"/>
      <c r="Y185" s="91" t="n"/>
      <c r="Z185" s="87" t="n"/>
      <c r="AA185" s="87" t="n"/>
    </row>
    <row r="186">
      <c r="A186" s="22" t="n"/>
      <c r="B186" s="83" t="n"/>
      <c r="C186" s="101" t="n"/>
      <c r="D186" s="83" t="n"/>
      <c r="E186" s="84" t="n"/>
      <c r="F186" s="85" t="n"/>
      <c r="G186" s="93" t="n"/>
      <c r="H186" s="91" t="n"/>
      <c r="I186" s="98" t="n"/>
      <c r="J186" s="91" t="n"/>
      <c r="K186" s="98" t="n"/>
      <c r="L186" s="91" t="n"/>
      <c r="M186" s="91" t="n"/>
      <c r="N186" s="91" t="n"/>
      <c r="O186" s="91" t="n"/>
      <c r="P186" s="87" t="n"/>
      <c r="Q186" s="95" t="n"/>
      <c r="R186" s="95" t="n"/>
      <c r="S186" s="95" t="n"/>
      <c r="T186" s="91" t="n"/>
      <c r="U186" s="87" t="n"/>
      <c r="V186" s="91" t="n"/>
      <c r="W186" s="91" t="n"/>
      <c r="X186" s="91" t="n"/>
      <c r="Y186" s="91" t="n"/>
      <c r="Z186" s="87" t="n"/>
      <c r="AA186" s="87" t="n"/>
    </row>
    <row r="187">
      <c r="A187" s="103" t="n"/>
      <c r="B187" s="104" t="n"/>
      <c r="C187" s="105">
        <f>IF(OfficeForms.Table[[#This Row],[Nombre1]]="","",VLOOKUP(OfficeForms.Table[[#This Row],[Nombre1]]:OfficeForms.Table[[#This Row],[Nombre1]],CPS!A144:B149,2,FALSE))</f>
        <v/>
      </c>
      <c r="D187" s="106">
        <f>IF(OfficeForms.Table[[#This Row],[Nombre1]]="","",VLOOKUP(OfficeForms.Table[[#This Row],[Nombre1]]:OfficeForms.Table[[#This Row],[Nombre1]],CPS!A146:C150,2,FALSE))</f>
        <v/>
      </c>
      <c r="E187" s="107" t="n"/>
      <c r="F187" s="106" t="n"/>
      <c r="G187" s="108" t="n"/>
      <c r="H187" s="108" t="n"/>
      <c r="I187" s="109" t="n"/>
      <c r="J187" s="108" t="n"/>
      <c r="K187" s="108" t="n"/>
      <c r="L187" s="108" t="n"/>
      <c r="M187" s="108" t="n"/>
      <c r="N187" s="108" t="n"/>
      <c r="O187" s="108" t="n"/>
      <c r="P187" s="32" t="n"/>
      <c r="Q187" s="121" t="n"/>
      <c r="R187" s="121" t="n"/>
      <c r="S187" s="121" t="n"/>
      <c r="T187" s="32" t="n"/>
      <c r="U187" s="87" t="n"/>
      <c r="V187" s="32" t="n"/>
      <c r="W187" s="32" t="n"/>
      <c r="X187" s="32" t="n"/>
      <c r="Y187" s="32" t="n"/>
      <c r="Z187" s="32" t="n"/>
      <c r="AA187" s="32" t="n"/>
    </row>
    <row r="188"/>
    <row r="189"/>
    <row r="190"/>
    <row r="191"/>
    <row r="192"/>
    <row r="193"/>
    <row r="194"/>
    <row r="195"/>
    <row r="196"/>
    <row r="197"/>
    <row r="198"/>
    <row r="199">
      <c r="N199" s="163" t="inlineStr"/>
    </row>
  </sheetData>
  <mergeCells count="1">
    <mergeCell ref="P1:X1"/>
  </mergeCells>
  <dataValidations count="3">
    <dataValidation sqref="B73:B79 C1:D3 C73:D1048576 I60 Q2:S3 Q73:S89 Q94:S97 Q99:S1048576" showDropDown="0" showInputMessage="1" showErrorMessage="1" allowBlank="1"/>
    <dataValidation sqref="K1:K3 K73:K77 K82 K87:K88 K91 K94:K99 K102 K104 K109:K117 K120 K187:K1048576" showDropDown="0" showInputMessage="1" showErrorMessage="1" allowBlank="0" type="list">
      <formula1>" ALMACEN, MAQUINAS A, MAQUINAS B"</formula1>
    </dataValidation>
    <dataValidation sqref="V73:V186" showDropDown="0" showInputMessage="1" showErrorMessage="1" allowBlank="1" type="list">
      <formula1>"Mantenimiento interno, Operativo, Mantenimiento externo, En espera de repuesto, Dar de baja, En espera de revision"</formula1>
    </dataValidation>
  </dataValidations>
  <pageMargins left="0.7" right="0.7" top="0.75" bottom="0.75" header="0.3" footer="0.3"/>
  <pageSetup orientation="portrait" paperSize="9" fitToWidth="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2" sqref="A12"/>
    </sheetView>
  </sheetViews>
  <sheetFormatPr baseColWidth="10" defaultColWidth="11.42578125" defaultRowHeight="15"/>
  <cols>
    <col width="19.28515625" customWidth="1" style="157" min="1" max="1"/>
    <col width="12" bestFit="1" customWidth="1" style="157" min="2" max="2"/>
    <col width="21.140625" customWidth="1" style="157" min="3" max="3"/>
  </cols>
  <sheetData>
    <row r="1">
      <c r="A1" s="24" t="inlineStr">
        <is>
          <t>Nombres</t>
        </is>
      </c>
      <c r="B1" s="24" t="inlineStr">
        <is>
          <t>Cedula</t>
        </is>
      </c>
    </row>
    <row r="2">
      <c r="A2" s="24" t="inlineStr">
        <is>
          <t>CARLOS RODRIGUEZ</t>
        </is>
      </c>
      <c r="B2" s="24" t="n">
        <v>1</v>
      </c>
      <c r="C2" t="inlineStr">
        <is>
          <t>ASISTENCIAL</t>
        </is>
      </c>
    </row>
    <row r="3">
      <c r="A3" s="24" t="inlineStr">
        <is>
          <t>NELSON GRANADOS</t>
        </is>
      </c>
      <c r="B3" s="24" t="n">
        <v>2</v>
      </c>
      <c r="C3" t="inlineStr">
        <is>
          <t xml:space="preserve">PLANTA ASISTENCIAL </t>
        </is>
      </c>
    </row>
    <row r="4">
      <c r="A4" s="24" t="inlineStr">
        <is>
          <t>Juan Camilo Cañas</t>
        </is>
      </c>
      <c r="B4" s="24" t="n">
        <v>3</v>
      </c>
      <c r="C4" t="inlineStr">
        <is>
          <t>Técnico</t>
        </is>
      </c>
    </row>
    <row r="5">
      <c r="A5" s="24" t="inlineStr">
        <is>
          <t>VANESSA CADENA</t>
        </is>
      </c>
      <c r="B5" s="24" t="n">
        <v>4</v>
      </c>
      <c r="C5" t="inlineStr">
        <is>
          <t>TECNICO</t>
        </is>
      </c>
    </row>
    <row r="6">
      <c r="A6" s="24" t="n"/>
      <c r="B6" s="24" t="n">
        <v>5</v>
      </c>
      <c r="C6" s="27" t="n"/>
    </row>
    <row r="7">
      <c r="B7" s="24" t="n">
        <v>6</v>
      </c>
    </row>
    <row r="8">
      <c r="B8" s="24" t="n">
        <v>7</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L16"/>
  <sheetViews>
    <sheetView workbookViewId="0">
      <selection activeCell="C11" sqref="C11:F11"/>
    </sheetView>
  </sheetViews>
  <sheetFormatPr baseColWidth="10" defaultColWidth="9.140625" defaultRowHeight="15"/>
  <cols>
    <col width="2.5703125" customWidth="1" style="157" min="1" max="1"/>
    <col width="22.7109375" customWidth="1" style="157" min="2" max="2"/>
    <col width="7.85546875" customWidth="1" style="157" min="3" max="3"/>
    <col width="7.42578125" customWidth="1" style="157" min="4" max="4"/>
    <col width="20.28515625" customWidth="1" style="157" min="5" max="5"/>
    <col width="19.42578125" customWidth="1" style="157" min="6" max="6"/>
    <col width="19.5703125" customWidth="1" style="157" min="7" max="7"/>
    <col width="19.85546875" customWidth="1" style="157" min="8" max="8"/>
    <col width="20" customWidth="1" style="157" min="9" max="9"/>
    <col width="3.85546875" customWidth="1" style="157" min="10" max="10"/>
    <col width="9.140625" customWidth="1" style="157" min="11" max="11"/>
    <col width="21.5703125" customWidth="1" style="157" min="12" max="12"/>
    <col width="2.140625" customWidth="1" style="157" min="13" max="13"/>
  </cols>
  <sheetData>
    <row r="2" ht="21" customHeight="1" s="157">
      <c r="B2" s="151" t="n"/>
      <c r="C2" s="150" t="inlineStr">
        <is>
          <t>REPORTE DE MANTENIMIENTO</t>
        </is>
      </c>
      <c r="D2" s="127" t="n"/>
      <c r="E2" s="127" t="n"/>
      <c r="F2" s="127" t="n"/>
      <c r="G2" s="127" t="n"/>
      <c r="H2" s="129" t="inlineStr">
        <is>
          <t>Código: GL-PR-002-FR-011</t>
        </is>
      </c>
      <c r="I2" s="128" t="n"/>
      <c r="J2" s="154" t="n"/>
      <c r="K2" s="140" t="n"/>
      <c r="L2" s="155" t="n"/>
    </row>
    <row r="3" ht="30.75" customHeight="1" s="157">
      <c r="B3" s="152" t="n"/>
      <c r="C3" s="135" t="inlineStr">
        <is>
          <t xml:space="preserve">Macro proceso: Apoyo a los misional </t>
        </is>
      </c>
      <c r="D3" s="127" t="n"/>
      <c r="E3" s="127" t="n"/>
      <c r="F3" s="127" t="n"/>
      <c r="G3" s="127" t="n"/>
      <c r="H3" s="129" t="inlineStr">
        <is>
          <t>Versión: 01</t>
        </is>
      </c>
      <c r="I3" s="128" t="n"/>
      <c r="J3" s="156" t="n"/>
      <c r="L3" s="158" t="n"/>
    </row>
    <row r="4" ht="33.75" customHeight="1" s="157">
      <c r="B4" s="153" t="n"/>
      <c r="C4" s="135" t="inlineStr">
        <is>
          <t xml:space="preserve">Proceso: Gestión de Laboratorios </t>
        </is>
      </c>
      <c r="D4" s="127" t="n"/>
      <c r="E4" s="127" t="n"/>
      <c r="F4" s="127" t="n"/>
      <c r="G4" s="127" t="n"/>
      <c r="H4" s="129" t="inlineStr">
        <is>
          <t>Fecha de aprobación: 23/05/2018</t>
        </is>
      </c>
      <c r="I4" s="128" t="n"/>
      <c r="J4" s="159" t="n"/>
      <c r="K4" s="160" t="n"/>
      <c r="L4" s="161" t="n"/>
    </row>
    <row r="5">
      <c r="B5" s="1" t="n"/>
      <c r="C5" s="1" t="n"/>
      <c r="D5" s="1" t="n"/>
      <c r="E5" s="1" t="n"/>
      <c r="F5" s="1" t="n"/>
      <c r="G5" s="1" t="n"/>
      <c r="H5" s="1" t="n"/>
      <c r="I5" s="1" t="n"/>
      <c r="J5" s="1" t="n"/>
    </row>
    <row r="6">
      <c r="B6" s="2" t="n"/>
      <c r="C6" s="2" t="n"/>
      <c r="D6" s="3" t="n"/>
      <c r="E6" s="4" t="n"/>
      <c r="F6" s="4" t="n"/>
      <c r="G6" s="4" t="n"/>
      <c r="H6" s="4" t="n"/>
      <c r="I6" s="5" t="n"/>
      <c r="J6" s="2" t="n"/>
    </row>
    <row r="7">
      <c r="B7" s="6" t="inlineStr">
        <is>
          <t>Nombre de solicitante</t>
        </is>
      </c>
      <c r="C7" s="131">
        <f>VLOOKUP($C$13,Datos!A4:U663,2,FALSE)</f>
        <v/>
      </c>
      <c r="D7" s="127" t="n"/>
      <c r="E7" s="128" t="n"/>
      <c r="F7" s="6" t="inlineStr">
        <is>
          <t>Código</t>
        </is>
      </c>
      <c r="G7" s="138">
        <f>VLOOKUP($C$13,Datos!A4:U663,3,FALSE)</f>
        <v/>
      </c>
      <c r="H7" s="127" t="n"/>
      <c r="I7" s="6" t="inlineStr">
        <is>
          <t>Marca</t>
        </is>
      </c>
      <c r="J7" s="131">
        <f>VLOOKUP($C$13,Datos!A4:U663,8,FALSE)</f>
        <v/>
      </c>
      <c r="K7" s="127" t="n"/>
      <c r="L7" s="128" t="n"/>
    </row>
    <row r="8">
      <c r="B8" s="6" t="inlineStr">
        <is>
          <t>Tipo de solicitante</t>
        </is>
      </c>
      <c r="C8" s="126">
        <f>VLOOKUP($C$13,Datos!A4:U663,4,FALSE)</f>
        <v/>
      </c>
      <c r="D8" s="127" t="n"/>
      <c r="E8" s="128" t="n"/>
      <c r="F8" s="6" t="inlineStr">
        <is>
          <t>Fecha</t>
        </is>
      </c>
      <c r="G8" s="130">
        <f>VLOOKUP($C$13,Datos!A4:U663,5,FALSE)</f>
        <v/>
      </c>
      <c r="H8" s="127" t="n"/>
      <c r="I8" s="6" t="inlineStr">
        <is>
          <t>Placa</t>
        </is>
      </c>
      <c r="J8" s="126">
        <f>VLOOKUP($C$13,Datos!A4:U663,9,FALSE)</f>
        <v/>
      </c>
      <c r="K8" s="127" t="n"/>
      <c r="L8" s="128" t="n"/>
    </row>
    <row r="9">
      <c r="B9" s="6" t="inlineStr">
        <is>
          <t>Nombre del equipo</t>
        </is>
      </c>
      <c r="C9" s="126">
        <f>VLOOKUP(C13,OfficeForms.Table[#All],7,FALSE)</f>
        <v/>
      </c>
      <c r="D9" s="127" t="n"/>
      <c r="E9" s="128" t="n"/>
      <c r="F9" s="6" t="inlineStr">
        <is>
          <t>Hora</t>
        </is>
      </c>
      <c r="G9" s="164">
        <f>VLOOKUP($C$13,Datos!A4:Z187,6,FALSE)</f>
        <v/>
      </c>
      <c r="H9" s="127" t="n"/>
      <c r="I9" s="7" t="inlineStr">
        <is>
          <t>Número</t>
        </is>
      </c>
      <c r="J9" s="126">
        <f>VLOOKUP($C$13,Datos!A4:U663,10,FALSE)</f>
        <v/>
      </c>
      <c r="K9" s="127" t="n"/>
      <c r="L9" s="128" t="n"/>
    </row>
    <row r="10">
      <c r="B10" s="13" t="inlineStr">
        <is>
          <t>Asignatura</t>
        </is>
      </c>
      <c r="C10" s="165">
        <f>VLOOKUP(C13,OfficeForms.Table[#All],12,FALSE)</f>
        <v/>
      </c>
      <c r="D10" s="140" t="n"/>
      <c r="E10" s="155" t="n"/>
      <c r="F10" s="13" t="inlineStr">
        <is>
          <t>Sala de ubicación</t>
        </is>
      </c>
      <c r="G10" s="139">
        <f>VLOOKUP($C$13,Datos!A4:U663,11,FALSE)</f>
        <v/>
      </c>
      <c r="H10" s="140" t="n"/>
      <c r="I10" s="13" t="inlineStr">
        <is>
          <t>Banco</t>
        </is>
      </c>
      <c r="J10" s="162">
        <f>VLOOKUP($C$13,Datos!A4:U663,13,FALSE)</f>
        <v/>
      </c>
      <c r="K10" s="140" t="n"/>
      <c r="L10" s="155" t="n"/>
    </row>
    <row r="11" ht="41.25" customHeight="1" s="157">
      <c r="B11" s="12" t="inlineStr">
        <is>
          <t>Descripción del daño</t>
        </is>
      </c>
      <c r="C11" s="163">
        <f>VLOOKUP($C$13,Datos!A4:U663,14,FALSE)</f>
        <v/>
      </c>
      <c r="D11" s="133" t="n"/>
      <c r="E11" s="133" t="n"/>
      <c r="F11" s="134" t="n"/>
      <c r="G11" s="12" t="inlineStr">
        <is>
          <t>Observación</t>
        </is>
      </c>
      <c r="H11" s="149">
        <f>VLOOKUP($C$13,Datos!A4:U663,15,FALSE)</f>
        <v/>
      </c>
      <c r="I11" s="133" t="n"/>
      <c r="J11" s="133" t="n"/>
      <c r="K11" s="133" t="n"/>
      <c r="L11" s="134" t="n"/>
    </row>
    <row r="12" ht="35.25" customFormat="1" customHeight="1" s="137">
      <c r="B12" s="136" t="inlineStr">
        <is>
          <t>DETALLES DEL MANTENIMIENTO</t>
        </is>
      </c>
    </row>
    <row r="13">
      <c r="B13" s="14" t="inlineStr">
        <is>
          <t>CONSECUTIVO</t>
        </is>
      </c>
      <c r="C13" s="132" t="n">
        <v>2</v>
      </c>
      <c r="D13" s="133" t="n"/>
      <c r="E13" s="133" t="n"/>
      <c r="F13" s="134" t="n"/>
      <c r="G13" s="124" t="inlineStr">
        <is>
          <t>Fecha de entrada</t>
        </is>
      </c>
      <c r="H13" s="148">
        <f>G8</f>
        <v/>
      </c>
      <c r="I13" s="124" t="inlineStr">
        <is>
          <t>Fecha de realización</t>
        </is>
      </c>
      <c r="J13" s="141">
        <f>VLOOKUP($C$13,Datos!A4:Z187,17,FALSE)</f>
        <v/>
      </c>
      <c r="K13" s="142" t="n"/>
      <c r="L13" s="143" t="n"/>
    </row>
    <row r="14" ht="17.25" customHeight="1" s="157">
      <c r="B14" s="15" t="inlineStr">
        <is>
          <t>Técnico que realiza</t>
        </is>
      </c>
      <c r="C14" s="147">
        <f>VLOOKUP($C$13,Datos!A4:U663,16,FALSE)</f>
        <v/>
      </c>
      <c r="D14" s="142" t="n"/>
      <c r="E14" s="142" t="n"/>
      <c r="F14" s="143" t="n"/>
      <c r="G14" s="125" t="n"/>
      <c r="H14" s="125" t="n"/>
      <c r="I14" s="125" t="n"/>
      <c r="J14" s="144" t="n"/>
      <c r="K14" s="123" t="n"/>
      <c r="L14" s="145" t="n"/>
    </row>
    <row r="15" ht="100.5" customHeight="1" s="157">
      <c r="B15" s="124" t="inlineStr">
        <is>
          <t>Diagnóstico</t>
        </is>
      </c>
      <c r="C15" s="146">
        <f>VLOOKUP($C$13,Datos!A4:U663,18,FALSE)</f>
        <v/>
      </c>
      <c r="D15" s="133" t="n"/>
      <c r="E15" s="133" t="n"/>
      <c r="F15" s="134" t="n"/>
      <c r="G15" s="124" t="inlineStr">
        <is>
          <t>Procedimiento</t>
        </is>
      </c>
      <c r="H15" s="146">
        <f>VLOOKUP($C$13,Datos!A4:U663,19,FALSE)</f>
        <v/>
      </c>
      <c r="I15" s="133" t="n"/>
      <c r="J15" s="133" t="n"/>
      <c r="K15" s="133" t="n"/>
      <c r="L15" s="134" t="n"/>
    </row>
    <row r="16" ht="15.75" customHeight="1" s="157">
      <c r="B16" s="8" t="n"/>
      <c r="C16" s="8" t="n"/>
      <c r="D16" s="9" t="n"/>
      <c r="E16" s="9" t="n"/>
      <c r="F16" s="9" t="n"/>
      <c r="G16" s="9" t="n"/>
      <c r="H16" s="9" t="n"/>
      <c r="I16" s="9" t="n"/>
      <c r="J16" s="9" t="n"/>
      <c r="K16" s="10" t="n"/>
      <c r="L16" s="9" t="n"/>
    </row>
  </sheetData>
  <mergeCells count="31">
    <mergeCell ref="G13:G14"/>
    <mergeCell ref="C9:E9"/>
    <mergeCell ref="H4:I4"/>
    <mergeCell ref="G8:H8"/>
    <mergeCell ref="J7:L7"/>
    <mergeCell ref="C13:F13"/>
    <mergeCell ref="C4:G4"/>
    <mergeCell ref="B12:L12"/>
    <mergeCell ref="G7:H7"/>
    <mergeCell ref="G10:H10"/>
    <mergeCell ref="J13:L14"/>
    <mergeCell ref="C8:E8"/>
    <mergeCell ref="C15:F15"/>
    <mergeCell ref="C7:E7"/>
    <mergeCell ref="C14:F14"/>
    <mergeCell ref="H13:H14"/>
    <mergeCell ref="H2:I2"/>
    <mergeCell ref="H11:L11"/>
    <mergeCell ref="C2:G2"/>
    <mergeCell ref="I13:I14"/>
    <mergeCell ref="J8:L8"/>
    <mergeCell ref="B2:B4"/>
    <mergeCell ref="J2:L4"/>
    <mergeCell ref="H3:I3"/>
    <mergeCell ref="J10:L10"/>
    <mergeCell ref="H15:L15"/>
    <mergeCell ref="C11:F11"/>
    <mergeCell ref="J9:L9"/>
    <mergeCell ref="G9:H9"/>
    <mergeCell ref="C3:G3"/>
    <mergeCell ref="C10:E10"/>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2024-09-13T00:02:43Z</dcterms:created>
  <dcterms:modified xsi:type="dcterms:W3CDTF">2026-09-17T20:18:45Z</dcterms:modified>
  <cp:lastModifiedBy>Juan Camilo Cañas Tiarado</cp:lastModifiedBy>
</cp:coreProperties>
</file>